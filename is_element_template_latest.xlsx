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<sst xmlns="http://schemas.openxmlformats.org/spreadsheetml/2006/main" count="465" uniqueCount="242">
  <si>
    <t>name</t>
  </si>
  <si>
    <t>family</t>
  </si>
  <si>
    <t>group</t>
  </si>
  <si>
    <t>synomyns</t>
  </si>
  <si>
    <t>iso</t>
  </si>
  <si>
    <t>origin</t>
  </si>
  <si>
    <t>length</t>
  </si>
  <si>
    <t>tam</t>
  </si>
  <si>
    <t>le_cleavage_site</t>
  </si>
  <si>
    <t>re_cleavage_site</t>
  </si>
  <si>
    <t>orf1</t>
  </si>
  <si>
    <t>orf2</t>
  </si>
  <si>
    <t>accession_number</t>
  </si>
  <si>
    <t>mge_type</t>
  </si>
  <si>
    <t>related_element_s</t>
  </si>
  <si>
    <t>isoform</t>
  </si>
  <si>
    <t>host</t>
  </si>
  <si>
    <t>transposition</t>
  </si>
  <si>
    <t>is_sequence</t>
  </si>
  <si>
    <t>is_length</t>
  </si>
  <si>
    <t>orf_number</t>
  </si>
  <si>
    <t>orf_1</t>
  </si>
  <si>
    <t>orf_1_length</t>
  </si>
  <si>
    <t>orf_1_begin</t>
  </si>
  <si>
    <t>orf_1_end</t>
  </si>
  <si>
    <t>orf_1_strand</t>
  </si>
  <si>
    <t>fusion_orf_1</t>
  </si>
  <si>
    <t>orf_1_function</t>
  </si>
  <si>
    <t>orf_1_chemistry</t>
  </si>
  <si>
    <t>orf_1_sequence</t>
  </si>
  <si>
    <t>orf_2</t>
  </si>
  <si>
    <t>orf_2_length</t>
  </si>
  <si>
    <t>orf_2_begin</t>
  </si>
  <si>
    <t>orf_2_end</t>
  </si>
  <si>
    <t>orf_2_strand</t>
  </si>
  <si>
    <t>fusion_orf_2</t>
  </si>
  <si>
    <t>orf_2_function</t>
  </si>
  <si>
    <t>orf_2_chemistry</t>
  </si>
  <si>
    <t>orf_2_sequence</t>
  </si>
  <si>
    <t>comment</t>
  </si>
  <si>
    <t>references</t>
  </si>
  <si>
    <t>ISScysp1</t>
  </si>
  <si>
    <t>IS200/IS605</t>
  </si>
  <si>
    <t>IS1341</t>
  </si>
  <si>
    <t>Scytonema sp. HK-05</t>
  </si>
  <si>
    <t>tTTAT</t>
  </si>
  <si>
    <t>GCF_002368235</t>
  </si>
  <si>
    <t>IS</t>
  </si>
  <si>
    <t>NIES-2130</t>
  </si>
  <si>
    <t>CTAGTGGGGGTTCGGGGGCTATAAGACCCGCGCTATAATCTTCGATTTAGCGCGGGATACATGGACCCCCGCGCTGTTTTCGTCGCCTCGATGGCGACAAAAACAGCATTTACTAGACATAGCATCTCTAGTAAATATGTTATAATTCATTTCATGATAACACTTACTCACCGCTACCGAATCTATCCAGATGTCACTCAAGAGCAAACATTAATTGAGTGGATGGAAATTTGTCGAGGAGCTTACAACTATGCTCTTCGAGAAATAAAAGATTGGTGTGATAGTCGTAAGTGTTTGATAGATAGATGCTCCATTCAAAAAGAATATATCCTCTCTTCTGAATTAAAATTTCCAAGCGAAGTCTATCAACTGAACAGATTGCCTGTATCTAAGAAAGATTTCCCCAGATTAGGAGAAGTTCCCTCTCAAGTTCTTCAGCAAGCGATTAAACAGTTGCATAGAGGTTGGGAGTATTTTCAGGAGAGAGGATTTGGCTTTCCTCGGTTTAAAAAACATGGTCAGTTTAAGTCGTTACTTTTTCCTCAGTTCAAGGAGAATCCAGTAACGACTCTGCATATCAAACTGCCCAAGATTGGAGTAATTCCAATTAACTTGCATCGACCCATTCCTACAGGATTTGTGGTCAAGCAGGTGCGAATCTTGAGGAAAGCTGATAGATGGTATGCCTCTATTTCGCTGCAATGTGATGTCAGCGTTCCCGACCCAATTCCTCATGGACATCCTATTGGGGTAGACATTGGGTTGGAAAAATTTTTAGCAACCAGCGATGGTGTTCGAGTATCGCCGCCGAAGTTTTTTAAACAACTGCAAAGCGAGTTGAAATTGCTGCAACGCAGATTGTCTAGGAAGCAACGGAGGTCGAGAAACTACGAGAAACAACGCCTTAAAGTTGCCCGACTTCACCACCAAATCGACAACACAAGGAAGGACTTTCACTACAAACAGGCACACGCCCTTTGTGATGCTGGCGACATGGTGTTTATGGAAGACTTGAATTACCGCACCAGTGCCAAAGGGATGTTCGGAAAACATATGCTTGATGCTGGGTTTGGTCAGTTTAGAACCATCGTCAAATATGTGTGCTGGAAGCGTGGAAAGTTCTTCTCAGAAGTCGATGCAAGAGGGACTTCTCAAGAGTGTCCCGAATGTGGTGGTGAAGTGAAAAAAGACTTGAGCGTTAGAGTTCATAGCTGCCCACACTGTGGATACAAAACCGATAGGGATGTAGCCGCAGGTCAAAATATTAGAAACCGAGGGATAGCCCTCATTAGTACCGCAGGACTTGCGGGAATGGAAACTGCCTGTGCAGACGATCTACCGGGGATTGAGGTCACTCAGTCTAGGCAAGTGTCGAAACCTCGTAACAGAGCAACCAGGAAATCTTCAAAGTGATTTGAGGAAGCCCACACTATACCGCTTACGGTTAGTGTGGGAGGATGTCAC</t>
  </si>
  <si>
    <t>+</t>
  </si>
  <si>
    <t>NO</t>
  </si>
  <si>
    <t>Accessory Gene</t>
  </si>
  <si>
    <t>TnpB</t>
  </si>
  <si>
    <t>MDPRAVFVASMATKTAFTRHSISSKYVIIHFMITLTHRYRIYPDVTQEQTLIEWMEICRGAYNYALREIKDWCDSRKCLIDRCSIQKEYILSSELKFPSEVYQLNRLPVSKKDFPRLGEVPSQVLQQAIKQLHRGWEYFQERGFGFPRFKKHGQFKSLLFPQFKENPVTTLHIKLPKIGVIPINLHRPIPTGFVVKQVRILRKADRWYASISLQCDVSVPDPIPHGHPIGVDIGLEKFLATSDGVRVSPPKFFKQLQSELKLLQRRLSRKQRRSRNYEKQRLKVARLHHQIDNTRKDFHYKQAHALCDAGDMVFMEDLNYRTSAKGMFGKHMLDAGFGQFRTIVKYVCWKRGKFFSEVDARGTSQECPECGGEVKKDLSVRVHSCPHCGYKTDRDVAAGQNIRNRGIALISTAGLAGMETACADDLPGIEVTQSRQVSKPRNRATRKSSK</t>
  </si>
  <si>
    <t>ISNitcr1</t>
  </si>
  <si>
    <t>Nitrosomonas cryotolerans ATCC 49181</t>
  </si>
  <si>
    <t>TTTAT</t>
  </si>
  <si>
    <t>GCA_900143275</t>
  </si>
  <si>
    <t>ATCC 49181</t>
  </si>
  <si>
    <t>CATCTCAACTTCCGGAAAACCCCGGTCTTAAGGCCGGGGATGGATAGGGAGTCAGCTTCGCTGATACTAAAGCCTGTTTTTTCACCTATTTCTGTTACAGTGTGTTAATGGAAATTAAGCGCGCATACAAATTCAGGTTTTACCCAACTTTTGAGCAAGAAACTATTCTGGCTCAAACATTCGGGTGTGCTCGGTTTGTCTATAATCGCATGTTGCGCGTTCGTTCTGATGCTTGGTATACCGAGAAAAAAAGAATCGGGTATCATGCTACCTCCTCTTTGTTGACCGAGTTAAAAAAAGAGCCTGAATTTGAATGGCTGAACAAAGTTTCCAGTGTTCCTGTGCAGCAATCTCTCCGCCACCTGCAAACGGCATTTGGTAATTTCTTTGCCAAACGAGCCAAATACCCGTCATTCAAAAGCAAGCATGAGAAGCAATCGGCTGAATACACGTCCAGCGCCTTCAAGTGGGACGGTAAGTCTCTGAAACTGGCGAAGATGAAAGATCCACTGAATATCAGATGGTCGCGCACCCTTCCTAAGGCAACAAAACTAACGATTGCAACAGTCTCTAAAGACTCAGCGGGTCGATACCATGTTTCTATGCTTTGCGACGACTCTGTTGCGCGAAAGCCAAGGGTTAGCGGCAAAGTCGGCATTGACTTAGGATTAACGCACTTCGCTATTCTTTCTACGGGCGAGAAGATTGCGTCTCCTAACACGCTACGAAAGAATGAAACCAGGCTTGCTAAGCTGCAACGCAAGCTATCTAAAAAGCGCAAAGGGTCGGCCAATAGACAAAAAGCCAGACTGAAAGTAGCGCGACTACATGCAGGAATTGCTGATGCTCGTAAAGACTTTCTACATAAACTCTCAACACGGCTAGTGAACGAAAACCAAGTGATAGCTGTAGAGTCTTTAGCTGTTAGCAATATGAAGAAAAATCGTTGCCTCGCAAAATCAATTTCCGATGCAGGATGGGGTGAATTTGTGCGGCAATTAGAATACAAGTCGCTGTGGTACGGGCGAGAGCTTGTAGGTATTGACCGATGGTATCCAAGCAGCAAACGCTGCTCGGGATGTGGGCATACCGTAAACAAGATGCCTTTGAATGTGCGTGAATGGACTTGTCCGGAATGCGGATCAATCCATGATCGAGACATCAACGCAGCGCGTAATGTTTTGGCCGCTGGACTGGCGGTGTCAGCCCTTGGAGAATCTATAAGTCCTGTTTGCATTTAGGTGCGTCCGGGTTGGATTCGTTGAATTGGGAATCCCCTTCGTTTACGGAGGGGAGCAGTCAA</t>
  </si>
  <si>
    <t>MEIKRAYKFRFYPTFEQETILAQTFGCARFVYNRMLRVRSDAWYTEKKRIGYHATSSLLTELKKEPEFEWLNKVSSVPVQQSLRHLQTAFGNFFAKRAKYPSFKSKHEKQSAEYTSSAFKWDGKSLKLAKMKDPLNIRWSRTLPKATKLTIATVSKDSAGRYHVSMLCDDSVARKPRVSGKVGIDLGLTHFAILSTGEKIASPNTLRKNETRLAKLQRKLSKKRKGSANRQKARLKVARLHAGIADARKDFLHKLSTRLVNENQVIAVESLAVSNMKKNRCLAKSISDAGWGEFVRQLEYKSLWYGRELVGIDRWYPSSKRCSGCGHTVNKMPLNVREWTCPECGSIHDRDINAARNVLAAGLAVSALGESISPVCI</t>
  </si>
  <si>
    <t>ISTheve1</t>
  </si>
  <si>
    <t>Thermosynechococcus vestitus BP-1</t>
  </si>
  <si>
    <t>TCAT</t>
  </si>
  <si>
    <t>GCA_000011345</t>
  </si>
  <si>
    <t>BP-1</t>
  </si>
  <si>
    <t>CTTTACCTCCGAGAGACCCCTTCCTTTAGGGAGGGGAGGGATAGGAGCGATAGTCTGTGACTGCCAAGTATAGTTGTGTTACTCACAGAATAATCGCTATAATGCGAGGCGTGGAAAAGGCTTTCAGTTACCGCTTCTACCCAACAACTGAGCAGGAATCCCTGCTTCGGAAAACATTGGGCTGTGTTCGGTTGGTTTATAATCGAGCGCTGGCAGCGAGAACAGAAGCCTGGTATGAACGAAAAGAGAGACTTGACTATGTTCAAACCTCTGCCTTGCTTACTCAGTGGAAGAAGCAAGATGACCTTCAGTTTTTGAATGAGGTTAGCTGTGTTCCCTTGCAGCAGGCATTGAGACATCTGCAATCTGCTTTCACTAACTTTTTTGCAGGTCGGGCAAAATATCCCAACTTCAAAAAGAAACGCAATGGCGGTAGCGCAGAATTCACCAAGTCTGCTTTTAGGTGGAAAGACGGAAAAGTATTCTTGGCAAAGTGCAACGAACCGCTGAATATTCCCTGGTCGAGACGGCTTCCAGATGGTGTTGAACCATCCACGGTGACCATCAGGCTTAACCCTGCTGGACAGTGGTACATCAGTCTGAGGTTTGATGACCCCAGAGAGTTGACACTGCAGCCCGTCGACCCGTCGGTTGGTTTGGACGTAGGGATGAGCAGTCTCATTACCCTGAGTACAGGGGAAAAGATTGCCAACCCCAAGCACTTTAACCGCTACTACAAACGACTCCGTAAGGCGCAGCGGTCTTTGAGTCGCAAACAAAAAGGCTCTCGCAATTGGGATAAGGCGCGGTTGAAAGTTGCCAAGATTCACCAGAAAATCTCTGATTCCAGAAAAGACCATTTGCACCAGTTGACGACTCGATTGATACGTGAAAACCAAACGATCATAATCGAGTCGTTGGCTGTGAAAAACATGGTCAAGAACCGTCAGCTTGCCCGATCCATCAGTGATGCTGGATGGGGCGAACTGGTACGGCAATTGGAATACAAAGCCCAGTGGTATGGTCGGACACTGGTGAAGATTGACCGATGGTTTCCCAGTTCTAAACGCTGTGGACAGTGTGGTCACATTGTTGAGTGGTTGCCATTGAGTGTCCGAGAATGGGACTGTCCTAAGTGTGGGGCGCACCATGACCGGGATATAAATGCCGCTGGGAATATTTTGGCCGTGGGACACACGGTTACAGTCTGTGGAGCGGGTGTAAGACCTGATAGGCATACGTCTGGAGGGCAACTGCGAAGAAACAGAAAGTCTCAAAAGTGATTTTGGGAATCCCCCTGCTTTAGCGGGGGGAGGATGTCAA</t>
  </si>
  <si>
    <t>MRGVEKAFSYRFYPTTEQESLLRKTLGCVRLVYNRALAARTEAWYERKERLDYVQTSALLTQWKKQDDLQFLNEVSCVPLQQALRHLQSAFTNFFAGRAKYPNFKKKRNGGSAEFTKSAFRWKDGKVFLAKCNEPLNIPWSRRLPDGVEPSTVTIRLNPAGQWYISLRFDDPRELTLQPVDPSVGLDVGMSSLITLSTGEKIANPKHFNRYYKRLRKAQRSLSRKQKGSRNWDKARLKVAKIHQKISDSRKDHLHQLTTRLIRENQTIIIESLAVKNMVKNRQLARSISDAGWGELVRQLEYKAQWYGRTLVKIDRWFPSSKRCGQCGHIVEWLPLSVREWDCPKCGAHHDRDINAAGNILAVGHTVTVCGAGVRPDRHTSGGQLRRNRKSQK</t>
  </si>
  <si>
    <t>ISLigmu1</t>
  </si>
  <si>
    <t>Ligilactobacillus murinus</t>
  </si>
  <si>
    <t>TTTAA</t>
  </si>
  <si>
    <t>GCF_003288115</t>
  </si>
  <si>
    <t>CR147</t>
  </si>
  <si>
    <t>TAATAGTTGGGCGGAAATCCCCTTACTTTAGTGAGGGGCTGGATAGCCCTAGCTTACGTCAGTAAGCTATTAATATGATATATTAATAGTTGAAAGGTGGTGAAGTAAAATGAAATCAATGAGTAAACTAGCTTATCACTTTGGGTTAAAAATGCGAATTTATCCTTCGACTAAGCAAAAGCAAATTATTCAAGTCAACTCTGATATTAGTCGCACGGTGTATAATAAGATGGTGGCGATTGACCAAGAATTATACCACTTAAAGCAAGTTAAATTGCCAATTGATACTATCCAAGCACGGATTGTTGACTTGGAGAGTCGTAAAAACGCTAGAAACATGTCTAATCACTACCAATATATGCAAGATAAACGAATTGATAGTTTGACTAAAGCTAATGCAATCCAAAACTATCAAAAGGCTTGGAAATTGTATCGGAAGGTTCATAAAGCTGGCACACCTAACTATCATAAGAAAAGTTATCGACAAAGTTATCAAACCAATTGCCAGTACGGTAAAAATAAATCCATGGATATGTTTAGTGGGTCAGTTAGATTTATTGATAAGAAGCATATCCAAATGCCCAAATTAGGTAAATTGAGAGTCAGTGGCTCATACCGTCGTATTTTAGATAAGAAAAGCGATATTAGAATCGGAACAGTAACTATCTCAAAAGATAGTGCTGATAGGTATTTTGTTTCCATGCAATTAGGGTCTGATACCCCATTCGTTAAAATCTTACCTAAAACCAATTCTCAAATCGGCATTGACCTTAATACCGAGAACTTCTTAACGACTAGTGACGGCGTAATTGTTGATAACCCACGTTATTATCGAACTATTAAGCATAAATTAGCTAAGGCTCAACGAACCTTATCACGGCGTGAATTGCGAGCTAAGAAAGAAAACCGTTCCTTACGTGATAGTAAGAATTATCAAAAACAAAGACACTTAGTAGCTAAGTTGCATGATAAAATTCGCAATCAACGAAAAAACTTCTTAAATTATCTCTCCATGGTACTTATCAATAACCACGATTTGATTGTGGCAGAGAATCTAAGAAGTAGTAATTTGTTGAAAAATCACGCTTTAGCTATGTCAATTTCTGATGTCGGTTGGCGAAGCTTTTTACAAAAATTAGAATACAAAGCTAATTTATACGGACGAATCTTTATTACCGTTAACCCAAAGAACACAACGCAAATGTGTCATACGTGCAAATTTGTAATGGGAACTGATGATACTCAAAAACTAACCCTAAAGGACCGTCAGTGGATATGCCCTCAATGTGGAGCTTTCCACATTCGTGACCACAATGCTAGTCTAAATATCTTAGACAAAGGCTTAGCTAAGTTGGCTAAATAACTCATTAAAATAGTCCGTTTGGCAACTTGCGGACTCTAATGGCGTTGGTAATTAGCGTGTCAGACTTATGATTTATCTCAGATGGATTATAAGCAGGGCTGTATCTACGCAAATTGTGATTAAAAGCCGTAAGGCTTAGCCTCACAAGCCCCTCACTTTAGTGAGGGGTAGTTGAC</t>
  </si>
  <si>
    <t>MKSMSKLAYHFGLKMRIYPSTKQKQIIQVNSDISRTVYNKMVAIDQELYHLKQVKLPIDTIQARIVDLESRKNARNMSNHYQYMQDKRIDSLTKANAIQNYQKAWKLYRKVHKAGTPNYHKKSYRQSYQTNCQYGKNKSMDMFSGSVRFIDKKHIQMPKLGKLRVSGSYRRILDKKSDIRIGTVTISKDSADRYFVSMQLGSDTPFVKILPKTNSQIGIDLNTENFLTTSDGVIVDNPRYYRTIKHKLAKAQRTLSRRELRAKKENRSLRDSKNYQKQRHLVAKLHDKIRNQRKNFLNYLSMVLINNHDLIVAENLRSSNLLKNHALAMSISDVGWRSFLQKLEYKANLYGRIFITVNPKNTTQMCHTCKFVMGTDDTQKLTLKDRQWICPQCGAFHIRDHNASLNILDKGLAKLAK*</t>
  </si>
  <si>
    <t>ISTolbo1</t>
  </si>
  <si>
    <t>Tolypothrix bouteillei VB521301</t>
  </si>
  <si>
    <t>TTTAC</t>
  </si>
  <si>
    <t>GCA_000760695</t>
  </si>
  <si>
    <t>VB521301</t>
  </si>
  <si>
    <t>CAAAAAACTGGGTTTAAAGCCCCGTCCTTCAAGGACGGCTTTACATTATTTTATCTAGCAATATAGCAGATAAAATATGTTATAATCAGGACATGATAGTAAGAGAAGCCAAGCTAAAAAACGGAACCAAAGAGCAATACTTAGCCCTTGATGAGGCTATCAGAACAACGCAGTTTATTAGAAATAAAGCTGTACGGTTTTGGATGGACAATAAAGGAGTTAGTAAAGCTATTTTGTACAACTTATGCAAAGATTTGGCAGCAGAGTTTCCTTTCGCAAAGAAGTTAAACTCTGCTGCTAGACAAGCTAGTGCTGAACGGGCTTGGGCTGCTATCTCTACGTTTTATTCACGATGCAAAAAAGGTTCGGGGAAGAAAGGCTATCCAAAATTCAAAAAACATTGCCGCTCGGTAGAGTACAAAGTTTCGGGATGGAAGTTATCAAGTGATTGTAAATCAATCACCTTCACTGACGGCTTTGAGGCTGGAACTTTTTCTATATTTTGCAACAATGAAACTCAAGAAGACTTGCACAGATTAAAGATTAATCGGGTGCGAGTAATTAGAAAAGCAGACGGTTATTATGCTCAGTTTTGCTTTGATGCTGACCGCAAGGAAACAGGAAAATATACGGGTAACGTTGTTGGGTTAGATTTGGGGTTAAAGTTTTTCACCAAAGATCAACACGATAATGCCGTGATATATCCACAATTCTTGCGTTCGTCAGAAAAGCGATTAAAGAAAGCCCAACGCCGTCTGAGTAAGAAATTCGTCAAGGGTGCTAAACCCCAATCAAAAAACTATCACAGACAAAGGAAAAGACTGGGTAAAATCCATCTAAAAATTCAGAGGCAGCGTCAAGACTGGGCAATTAAGCAAGCTCGGTGCGTAGTCCACTCTAACGATGTGGTTGTCTATGAAGATTTAAAGATTGCCAATATGGTAAAAAATCATCAATTGGCTAAGTCCATTTCTGATGCTGGTTGGTATCAATTCACTCAATGGCTAGACTATTATGGCAAGATTTGGGACAAAGCAGTTGTGGCGGTGTCACCTAACTACACATCACAAGATTGTTCTAATTGCGGTCATAGAGTGAAAAAATCTCTCAGTACCAGAACGCATTCCTGTCCTAAGTGCAAAATTGAACTATGCCGAGATACCAATGCGGCTCTGAACATTTTGCAAAAAGGAATGAAGATACTCGGTACTGAGTGGCAACTAAACGGTACTTCTGGGCAAGAAGAATCCGCCTCTTGCGAGGGAAAGCATGGGGAGAAGACCGCCTCTACTATTGAAGGGAAACTCGATATAGCAAGTGGACTTCTGTGAACCATGAACTAGAATCACCGTGGCTTCAGCCCGGTGAGTATGTCAA</t>
  </si>
  <si>
    <t>MIVREAKLKNGTKEQYLALDEAIRTTQFIRNKAVRFWMDNKGVSKAILYNLCKDLAAEFPFAKKLNSAARQASAERAWAAISTFYSRCKKGSGKKGYPKFKKHCRSVEYKVSGWKLSSDCKSITFTDGFEAGTFSIFCNNETQEDLHRLKINRVRVIRKADGYYAQFCFDADRKETGKYTGNVVGLDLGLKFFTKDQHDNAVIYPQFLRSSEKRLKKAQRRLSKKFVKGAKPQSKNYHRQRKRLGKIHLKIQRQRQDWAIKQARCVVHSNDVVVYEDLKIANMVKNHQLAKSISDAGWYQFTQWLDYYGKIWDKAVVAVSPNYTSQDCSNCGHRVKKSLSTRTHSCPKCKIELCRDTNAALNILQKGMKILGTEWQLNGTSGQEESASCEGKHGEKTASTIEGKLDIASGLL*</t>
  </si>
  <si>
    <t>ISActlo1</t>
  </si>
  <si>
    <t>Actinoplanes lobatus</t>
  </si>
  <si>
    <t>GCA_014205215</t>
  </si>
  <si>
    <t>DSM 43150</t>
  </si>
  <si>
    <t>CAGATTCCTCCGTGGAGACTCCGGCCTTCAGGCCGGAGAGGAAACGGAACCCCTGCGGAGCAGGTCAGGGACAGCCCATTCGCCGTCAAGGCGGATGGGCGTCTACCCACGGACCGTCCGCGAGGGTGGTTCCACATAGGTGTGTTAGCTTGTGAGCCGTGTCCGAACGTGCTGTGAAGCGGGCTTTCAAGTTCCGCTTCCACCCGACTCCGGAGCAGGCCGACCTGCTGAACCGGACGTTCGGGTGTGTGCGCAAGGTGTACAACCTGGCCCTGGAGGCCCGCACCACCGCCTGGTATCAGCGCCGGGAGCGGGTCAACTACAACGCCACCAGCGCCATGCTGACGGCGTGGAAGAAGACCGAGGAACTCGCGTTCCTCAACGAGGTCTCCGCCGTGCCGCTGCAGCAGGGCCTGCGGCATCTGCAAGGTGCGTTCGCCGCGTTCTGGGAGAAACGGGCCCGGTATCCGCGGTTCAAGTCCAAACACAAGTCGCGGGCCTCGGCCGAGTTCACCCCGTCCGCGTTCCGCTGGAACAACGGCGAACTGACCCTGGCCAAGACGGCCACCCCGCTGGACATTGTCTGGTCGAGGCCACTGCCCGAAGGGCAGTCGCCGTCGACCGTGACCGTGTCCCGCGACAGCGCCGGCCGCTGGTTCGTGTCCCTGCTCTGCCAGGACACGATCGAACCCCTCCCGACCGTCGAGAACGCGGTCGGGATCGACGCCGGACTCGACCACCTGATCACCCTGTCCACCGGCGAGAAGATCACCAATCCCCGTCACGAACGCGCCGACCGTGAGCGGCTGGCCCGCGCCCAGCGGGAACTGGCCCGTAAAGAAAAGGGCTCCAGGAACCGGGACAAGGCCCGGCTGAAGGTCGCCCGCATCCACGCCCGCATCAGCGACCGGCGCCGCGACCACCTGCACAAACTGACCACTCGGCTCGTGCGTGAGACCCAAACGCTCGTGATCGAGGACCTGACCGTGCGCAACATGGTCAAGAACCACACCCTGGCCCGCGCCATCAGTGACGCGGCCTGGACCACCTTCCGCGAACAGTTGACCTACAAATGCCAGTGGTACGGCCGGAACCTGGTCGTGATCGACCGCTGGTACCCGTCGTCCAAGGTCTGCTCGGCCTGCGGGCACCTCACCGAGAAAATGCCGCTCAACGTGCGGTCGTGGACCTGCCCCTGCGGGGCCGCCCACGACCGTGACGTCAACGCGGCACGCAACATCCTGGCCGCCGGGCAGGCGGTGTCGGCCTATGGAGCTGGCGTAAGACCTCAACGGAAACCTCCGTCCGGGGCAGCAGGCTGAGAAGTAGGAAACCCGGTGGGCGACCACCGGAATCCCCGTCCCTTCAGGGCGGGGAGGATGTCAA</t>
  </si>
  <si>
    <t>LLNRTFGCVRKVYNLALEARTTAWYQRRERVNYNATSAMLTAWKKTEELAFLNEVSAVPLQQGLRHLQGAFAAFWEKRARYPRFKSKHKSRASAEFTPSAFRWNNGELTLAKTATPLDIVWSRPLPEGQSPSTVTVSRDSAGRWFVSLLCQDTIEPLPTVENAVGIDAGLDHLITLSTGEKITNPRHERADRERLARAQRELARKEKGSRNRDKARLKVARIHARISDRRRDHLHKLTTRLVRETQTLVIEDLTVRNMVKNHTLARAISDAAWTTFREQLTYKCQWYGRNLVVIDRWYPSSKVCSACGHLTEKMPLNVRSWTCPCGAAHDRDVNAARNILAAGQAVSAYGAGVRPQRKPPSGAAG</t>
  </si>
  <si>
    <t>ISNossp1</t>
  </si>
  <si>
    <t>Nostoc sp. UHCC 0926</t>
  </si>
  <si>
    <t>TTAC</t>
  </si>
  <si>
    <t>GCF_028623165</t>
  </si>
  <si>
    <t>UHCC 0926</t>
  </si>
  <si>
    <t>GATAGTGAAGCGTAAAGCCCCCGAAGAACAGGTACGTAGTACCGCCTTCTGTGCAATAGATAGGGGATATAAGCGAATAGCTGAATTTATTCAGCCGTCAAGATTGTATAAAGTTTTTCAACCTTCCTAATATCTTATACCAAGTGTGGTAGTATAAAGTGGGAGGTAAAAAGATGCTTGTTTTTAAGTTTAAAGCTTATGGGAAGTCAGCGCAATTATGCAAAATAAATGATGCAATTCGGACTGCAAAGTTTATTCGTAATAGCTGTATTCGGCTATGGATGGACGTTAAAGGCACAGGTAAAAATGATTTGCAAAAATATTGTGCTGTACTTGCGGCTAATTTTCCCTTTGCTAATGAACTTAATTCAATGGCTAGACAGGCTTCTGCTGAAAGAGCATGGTCTTCTATCTCTCGGTTTTATGACAACTGCAAGAAGGGTATTCCGGGTTTAAAGGGGTATCCTCGATTTCAGAAAGATTGTCGATCTGTTGAGTACAAATCGACTGGATGGAAGCTTGCAGATAATCGTAAATCAATAACTTTCACTGACAAAAAAGGTATTGGAAAGTTAAAACTCAAAGGTACTCGTGATTTGCACTTCTACCAAATTAACCAGATTAAACGGGTGAGGTTGGTGAAACGTGCGGATGGTGTGTATGTTCAATTTTGTATTGATGTAGAACGTTCCGAGAATATAGAACCGACTGGTAATACGGTTGGTTTAGACGTTGGACTTAAGGAATACTACACCGATTCAGATGGAACGATGGTTGAAAACCCAAAGTTCCTGCGTATTGGTGAAAAAGTTCTCAAGCGTTCACAACGTCGAGTTTCAAGAAAGATAAAAGGTTCAAAGAATAGAAGTAAGGCTAGACAAATTTTAGGTAAACGCCACCTCAAAATAAGTAGGCAACGTAAAGACCATGCTGTGAAATTAGCACGGTGCGTAGTTCAGTCTAACGACTTGATAGCCTATGAAGATTTGAGGATTAAGAATATGGTGAAAAATCACTGTTTAGCCAAGTCTATAAATGATGCATCTTGGTATCAGTTTCGTGTCTGGATTGAGTACTTTGGTAAAGTATTCAAGCGTGTCACGGTTGCGGTTAATCCGCAATATAGTAGCCAAGAATGCTCTAGCTGTGGTGAAACTGTTAAGAAAACTCTATCTACTCGAACCCACGTTTGTCAGTGTGGATGCGTAATGGATAGAGACGAAAACGCAGCTAGAAATATCCTTAGTCGAGGATTGGGTACGGTAGGGCATATCGGAACCTCTGCGCTAGACGTAGGCAACACTTGCGGAGATGAAACCTCTACTCTTGTTGGTGCAAACCTGCAAGAGCAAGTTATGTCTTAGATTCAAGAATCCCCGTCGCTTCAGCGCGGGGAGTGTCAA</t>
  </si>
  <si>
    <t>MLVFKFKAYGKSAQLCKINDAIRTAKFIRNSCIRLWMDVKGTGKNDLQKYCAVLAANFPFANELNSMARQASAERAWSSISRFYDNCKKGIPGLKGYPRFQKDCRSVEYKSTGWKLADNRKSITFTDKKGIGKLKLKGTRDLHFYQINQIKRVRLVKRADGVYVQFCIDVERSENIEPTGNTVGLDVGLKEYYTDSDGTMVENPKFLRIGEKVLKRSQRRVSRKIKGSKNRSKARQILGKRHLKISRQRKDHAVKLARCVVQSNDLIAYEDLRIKNMVKNHCLAKSINDASWYQFRVWIEYFGKVFKRVTVAVNPQYSSQECSSCGETVKKTLSTRTHVCQCGCVMDRDENAARNILSRGLGTVGHIGTSALDVGNTCGDETSTLVGANLQEQVMS*</t>
  </si>
  <si>
    <t>ISHelpy1</t>
  </si>
  <si>
    <t>IS607</t>
  </si>
  <si>
    <t>Helicobacter pylori</t>
  </si>
  <si>
    <t>gGG</t>
  </si>
  <si>
    <t>380(70-450)</t>
  </si>
  <si>
    <t>GCA_022923775</t>
  </si>
  <si>
    <t>Hpfe056</t>
  </si>
  <si>
    <t>TTACAAACAGAAACTAAAATCCTATAATAACCTATAAAATACTATAATTTTTGTATAGGTTATTAAGTTTTGTGTTATACTGCTTGCATGAATAAAAGAATGCTATCAATCGGTCAAGCGAGTAAGCTTTTGGGTGTAACTATCCAAACCTTACGCAATTGGGATAAAAAAGATTTGTTAAAACCTGATGAACTCACTAAAGGCGGTGAAAGGCGTTACAAGTTAGAAAGTTTAAGGCGTATCAATAGAAGCACAGTCTTTAATCAAGATGAATTAAAAACAATAGCTTATGCTAGAGTAAGCTCGCATGACCAACAAGATGATTTAATCAGACAAGTTCAAGTTTTAGAGCTTTATTGTGCTAGATGCGGCTTTAACTATGAAGTGATACAAGATTTAGGGAGTGGCATGAACTACTATAAAAAAGGCTTAACCAAGCTTTTAACTTAATCTTAGACAATCAAGTCAAACGCCTTGTATTAACGCATAAAGACAGATTATTACGCTTTGGAGCCGAATTGGTATTCAGTATTTGTGAAGCTAAAGAAGTAGAAGTGGTTATCATCAATAAGGGTGATGAGAATGTGAGGTTTGAAGAAGAGTTAGCCAAAGATGTTTTAGAAATTATAACCGTCTTTAGCGCTAGATTGTATGGCTCTAGGTCTAAGAAAAACAAAAAACTCTTAGATGAAATGCAAGAAGTAATAACTAACAATGTCAGCTATCTCAATCACGCATAAAATCGCTTTAAAGCCTAATAACAAGCATACTACTTACTTTAAAAAAGCTTTTGGGTGCGCTAGGTTCGCTTATAATTGGGGGTTAGCTAAATGGAAAGAAAACTACCAATTGGGTATTAAAACTAGCCATCTACAGCTTAAAAAAGAGTTTAACGCTCTTAAAAAATCGCAATTTAATTTCGTTTATGAAGTAACCAAATACGCCACCCAACAGCCTTTTATCCACTTAAATCTAGCCTTTAATAAGTTTTTTAGGGATTTGAAAAAAGGTTTAGTGAGTTACCCTAAATTTAAAAAGAAAAGGGAGTTTCAAGGTTCTTTTTATATAGGGGGCGACCAAATTAAAATCATTCAAACAGCTAATACTGATTATTTAAAAATACCTAACTTACCCCCAATCAAACTCACTGAAAAACTAAGATTTCAAGGCAAAATCAATAACGCTACCATCACTCAAAAGGGCGATCATTTCTATGTTTCAATCTCTTGTGGTGTTGATGAGAGTGAATACAAACAAACCCATAAACTCCAAGAGAGTCATAATAAACTAGGGATTGATATAGGGATTAAATCCTTTGTGAGTTTGTCTAATGGCTTAAATATCTATGCCCCTAAGCCCTTATATAAGCTTACTAGAAAGCTTGCAAGAATTAGCAGACAACTGAGTAAAAAAATCCACCCAAAAACCAAAGGGGATAAAACCAAGAAATCTAATAATTACTTAAAGCATTCTAAAAAGCTTACCCACTTGCATGAAAAAATCGCTAACATCAGACTTGATTTTTTACACAAGCTCACAAGCTCTCTTATAAGACACTCAAACTCGTTTTGTTTAGAGAGTTTGAAAGTCAAAAACATGTTTAAAAATCACAGGTTGGCTAAATCTTTAAGCGATGTTTCTATGTCTGTGTTTAACACGCTATTAGAATATAAAGCTAAATACTCTAATAAAGAAATTCTAAGAGCTGACACTTACTATCCAAGCTCTAAGACTTGTTCTAATTGTCAAAAGGTTAAACAAGATTTAAAACTTAAAGATAGGATTTATCAATGCCTAGAGTGTGGATTTGAATTAGATAGAGATATAAACGCTGCTATCAATCTTTTAAAGCATTTAGTAGGTAGAGTTACTGCCGAATTTACGCCTATGGACTTGACAGCTCTGTTAAATGATTTATCCAAAAATCGTTTAGTAACTAGCAAGGTTGAATTAGGAATGCAACAAAAATCCTAAATTAAGAGAATTTTATAGCTCTTTATAGGATTTTATAGGTTTGTAGTAACGG</t>
  </si>
  <si>
    <t>No</t>
  </si>
  <si>
    <t>Transposase</t>
  </si>
  <si>
    <t>Serine</t>
  </si>
  <si>
    <t>LCYTACMNKRMLSIGQASKLLGVTIQTLRNWDKKDLLKPDELTKGGERRYKLESLRRINRSTVFNQDELKTIAYARVSSHDQQDDLIRQVQVLELYCARCGFNYEVIQDLGSGMNYYKKGLTKLLT*</t>
  </si>
  <si>
    <t>MSAISITHKIALKPNNKHTTYFKKAFGCARFAYNWGLAKWKENYQLGIKTSHLQLKKEFNALKKSQFNFVYEVTKYATQQPFIHLNLAFNKFFRDLKKGLVSYPKFKKKREFQGSFYIGGDQIKIIQTANTDYLKIPNLPPIKLTEKLRFQGKINNATITQKGDHFYVSISCGVDESEYKQTHKLQESHNKLGIDIGIKSFVSLSNGLNIYAPKPLYKLTRKLARISRQLSKKIHPKTKGDKTKKSNNYLKHSKKLTHLHEKIANIRLDFLHKLTSSLIRHSNSFCLESLKVKNMFKNHRLAKSLSDVSMSVFNTLLEYKAKYSNKEILRADTYYPSSKTCSNCQKVKQDLKLKDRIYQCLECGFELDRDINAAINLLKHLVGRVTAEFTPMDLTALLNDLSKNRLVTSKVELGMQQKS*</t>
  </si>
  <si>
    <t>ISEndgo1</t>
  </si>
  <si>
    <t>Endozoicomonas gorgoniicola</t>
  </si>
  <si>
    <t>GCF_025562715</t>
  </si>
  <si>
    <t>PS125</t>
  </si>
  <si>
    <t>CGAAACTAGCGGAAAACCCCGTACTTTTAGTGCGGGGATGGATAGCGAGCAGTCTGGAAGACTGCTTATAGAAGATACTTGAAGATTTTACATTTTTTGATATAAACTTGTAAGCATGAATAAACGAGCTTTCAAATACAGATTTTACCCAACGCCTGAGCAGGAAACCTTGCTTGCTCAGACGTTTGGCTGTATTCGGTTCGTTTACAACCATATCCTTCGCTGGCGTACTGATGAGTACTACAACAATGGTTGTAGTATTAATTACAATGCCGCCTCGAAGCAGCTTACAGAGCTGAAAAAGAACCCTGAGTACCAGTGGTTGAAAGATGTTTCTTCTGTACCTGTTCAGCAAGCACTACGACACCAGCAAACCGCCTTCAAAAACTTCTGGGAAGGTCGGGCGAAATACCCCACTTTCAAAAAGAGACACGCAAAGCAGAGTGCTACTTTTGCCGCTTCTGCTTTCAAGTACAAAGAAGGTCAGCTATTCATAGCTAAAAGCAAAGAGCCTTTGAATATCCGCTGGAGCAGAGAGCTATCGTCAGAGCCTTCCAGCATAACCATCAGCAAAGACAGAGCTGGACGCTACTTTGTATCCATGCTGTGCGAGTTTGAAGCTAAACCAATGCCTATTTCTAACAAGACAGTGGGCATTGATTTAGGCTTAAATGATCTGTTCGTCACTTCAGACGGCCAAAAATCCGGTAATCCAAGACACACCAAGCGCTACGAGCAAAAGCTCGCCTACCTTCAGCGTAAGCTGGTGAAAAAGCAGAAAAGCAGTAACAACCGAGCTAAAGCAAAGCTCAAGGTTGCCCGCCTTCATGCGAAAATAGCTGATTGCCGGATGGATGCTACTCATAAAGCATCCCGCAAACTAATTAACGAGAACCAAGTTGTTTGTGTAGAGTCCCTGAATGTGAAAGGCATGATCAAAAATCCAAAACTGGCAAAGCATATAGCTGATGCAAACTGGGGTGAATTTGTACGGCAGTTGCAGTACAAAGCCGAGTGGGCAGAAAGGATTGTTGTTCAGATAGACCGATTCTTTCCCAGCTCCAGGCGTTGCTCCAGTTGCGGATTCATCCATGAAAGTTTGCCGTTGTCTATCCGTGAATGGAAATGCCCGAAGTGCAATACCCTTCACGACAGGGATATTAATGCGGCAATCAATATCAAAACCGCCGGGCTGGCGGGGTTGGCCTGTGGAGCGACTGGAACGGGGGTTGCAGCCTAGCTGCAATCTAGAGAAGGCGTGTCGAAGCAGGAAGCCTGTTTGGTGACGAACAGGAATCCCCGTCCTTCAGGGCGGGGAGGATGTCAA</t>
  </si>
  <si>
    <t>MNKRAFKYRFYPTPEQETLLAQTFGCIRFVYNHILRWRTDEYYNNGCSINYNAASKQLTELKKNPEYQWLKDVSSVPVQQALRHQQTAFKNFWEGRAKYPTFKKRHAKQSATFAASAFKYKEGQLFIAKSKEPLNIRWSRELSSEPSSITISKDRAGRYFVSMLCEFEAKPMPISNKTVGIDLGLNDLFVTSDGQKSGNPRHTKRYEQKLAYLQRKLVKKQKSSNNRAKAKLKVARLHAKIADCRMDATHKASRKLINENQVVCVESLNVKGMIKNPKLAKHIADANWGEFVRQLQYKAEWAERIVVQIDRFFPSSRRCSSCGFIHESLPLSIREWKCPKCNTLHDRDINAAINIKTAGLAGLACGATGTGVAA*</t>
  </si>
  <si>
    <t>ISGeoli1</t>
  </si>
  <si>
    <t>Geobacillus lituanicus</t>
  </si>
  <si>
    <t>tTTTAA</t>
  </si>
  <si>
    <t>GCF_002243605</t>
  </si>
  <si>
    <t>N-3</t>
  </si>
  <si>
    <t>CATAAATCAGCCAGAAGTCCCCCACCTCTACAGGTGGGGGATGAATGGCGTTCGGTTTTTCTGTTTTTCTCTTTCTTCTTTGGATGGCAATAGAATACAATAAACATAGGAGGTGAAACCATGTATCGAACGCTGAAAACCCGTTTTCGGGCAAAGAAAGAAGTTATCCAAAAACTATTTGAATGCAATCGTATCTCCGCAGAAGTTTGGAACGAATGCCTTCGTTTGGCAAAAGAACATCATTTGGAAACAGGAAAATGGATAACCAAAACGGAACTGCAAAAAGCAACAAAAGGTCGTTTTTCTATCCACAGCCAAAGCATCCAGGCGGTTGTGCATAAATATATCTTTGCCCGTGATGGGGCAAAAGAAGCACGGAAAAAAGGAGAAAAAATCAAATATCCATACAAAAAGAAAAAACATTTCAACACGAAATGGGCAAAAGATGGGTTTGTTTTGCATGAAGACGGAACGTTGGAACTGTCGCTAGGAATTTGGAATCGAAAACGACAATCTCCTTTGGTGGTGAAAATCGACAAAGAGAAACTTCCAAACGGAAAAGTCAAAGAAATCGAGTTGGTCTATGACCGTGGTTTGTGGCTTTGTTTATCGTATGAAGATGGGAAAAAACCAAAAGAAAATCCATGTAAAAACCGTGTTGCTATTGACCCAGGGGAAATTCACACCATCGCAGCCATTTGTGAAAATGGGGAAAGCCTCATTATCACGGGAAGAAAAATAAGAAGCATTCATCGGTTGAGAAACAAGAAATTAAAAGAACTGCAAAAACTCATGAGCAGATGCAAAAAAGGCTCCAAACAATGGAAAAAGTACAATCGGGCGAAACAATATGTACTTTCGAAATCAGAGGCACAACTAAAGGATGCACTGCACAAAACCACGAGACAATTTGTTCGTTGGTGTTTGGAAAACCAAGTGAAAGAAGTCGTCATTGGAGATATCGAAGGAATCCAACGGAATACGAAAAAGAAACGAAACAAAAAGACCAATCAGAAATTATCCAATTGGTCGTTTGGAAAATTATTTGATTATCTCAAATACAAATTGAATGCCGAAGGAATTCAAATCGAGAAAAAAGATGAAAGTTATACCTCGCAAACATGCCCTGTTTGCGGGAAGAAAAATAAATCTTCTTCTAGAAATTATACATGTCAATGCGGGTACAAACGACACCGTGATATCCATGGGGCAATGAATTTATTTGCCAAAGTATATTATGGTGAAATCCGCCCATTGGAATTTACGGTCAAACCGTTTACGTATCGACGGATTGCTTAGGTATGAAGTCGTAGATGGCGAGTTCCCGCCCTTGAGTATCATGGATACTCATGTTGCCTGTGGCTCCCAACGGGACGGGTGCCAGGTGTTGCCTGCAGATAGGCTGCCAACCAGCCTATCATGCATCCACCTCCGAAGGGGAAACAGGAAACCCCCACTTCGATAAGTGGGGGAGGTTCAT</t>
  </si>
  <si>
    <t>MYRTLKTRFRAKKEVIQKLFECNRISAEVWNECLRLAKEHHLETGKWITKTELQKATKGRFSIHSQSIQAVVHKYIFARDGAKEARKKGEKIKYPYKKKKHFNTKWAKDGFVLHEDGTLELSLGIWNRKRQSPLVVKIDKEKLPNGKVKEIELVYDRGLWLCLSYEDGKKPKENPCKNRVAIDPGEIHTIAAICENGESLIITGRKIRSIHRLRNKKLKELQKLMSRCKKGSKQWKKYNRAKQYVLSKSEAQLKDALHKTTRQFVRWCLENQVKEVVIGDIEGIQRNTKKKRNKKTNQKLSNWSFGKLFDYLKYKLNAEGIQIEKKDESYTSQTCPVCGKKNKSSSRNYTCQCGYKRHRDIHGAMNLFAKVYYGEIRPLEFTVKPFTYRRIA*</t>
  </si>
  <si>
    <t>ISHelsu1</t>
  </si>
  <si>
    <t>Helicobacter suis</t>
  </si>
  <si>
    <t>cTTAG</t>
  </si>
  <si>
    <t>GCA_013374195</t>
  </si>
  <si>
    <t>NHP19-4004</t>
  </si>
  <si>
    <t>CAACCGCGCCGTAAACCCCCTAGCTTTAGCTATGGGGATATAAGGCGCATGTTTGGTCGTTTTTCAAGCAAAGTGTGTATAATATAGTTCTATGCTCATCGCCTACAAGCAGAAACTCTACAATTCAAGCAAGAACAAGCAGATAGACAGACTCTTGCGTCTTTATGGCATTTGCTACAATCATTGTATCGCTTTGCATAAGCGGTATTATAGGCTCTATAAGAAGCACTTGAATTTCTACACTTTGAAAAAGCACATCACCAAGCTAAAGAGAACAGCACGCTTTGCTTTTTTGAAAACTCTAGGCTCTCAAACCTTGCAAGAGCTAGTAGGGAGGATAGACAAGGCTTATAAAAAGTTTTTTAAGAAACAAGGCAGACCGCCTAGATTTAAAAAGGTGGCCAACTATCAGTCTTTCACATTTTCACAATGTGGTTATAAAATCCAAGACAACATTATCTCTTTTAATGGCTATCGCTTTAAGTTTGTCAAAACCTACGACCTTGCAGGCAAACCCAAGACCTTAACCATTAAAAGAGATAATCTAGGCGATTATTTCTTGTGCTTGGTGTGCGAAACAGAGGATAACCTTAAGCCCGCAGGCGGTAACAGCGTGGGGCTTGACTTTGGGTTAAAAACTTTTCTCACATGCTCTAATGGCACACAAATCCCATCGCCTTTATTTTTCTCTAAATTCTTGCCTTTGATCCGTGCTTGCTCTCGCTCCCTATCCAAAAAGAAAAGAGGCAGTCATAACCGCCTAAAGGCTAGGCTAAAACTTGCTAGATTGCACCGCAAAGTCCAAAATCTTAGAAAAGACTTTTTCTACAAGATTGCTAATAGCCTAGCCAAACAATACGCCACTATTTTCATTGAAGATTTGAACCTGAAGGGTATGGTTAAACTTTGGGGGCGCAAGATTAATGATTTGGCTTTTGGTGAGTTTGTGGCTATCTTGGAGAGAAAAACCCAAGTGGTTAAGATTGATAGATTCTATCCTAGCTCTAAAACTTGTTCTAATTGTGGAGCACTCAAAGAGGATTTAAGCCTAAAAGATAGGTTTTTTCATTGCCCTTCTTGTGGCTTTTCTTTGGATAGAGATTTGAACGCAAGTATAAATATTCATAGAGTGGGGGCATCCACTCTTGGAGGAGAAGCTGTAAGACCCGCCTAGCGGGCAAGCTTTGATGATCCCAGAATCCCCTAGCTTTAGCTATGGGGAGTATGTCAA</t>
  </si>
  <si>
    <t>MLIAYKQKLYNSSKNKQIDRLLRLYGICYNHCIALHKRYYRLYKKHLNFYTLKKHITKLKRTARFAFLKTLGSQTLQELVGRIDKAYKKFFKKQGRPPRFKKVANYQSFTFSQCGYKIQDNIISFNGYRFKFVKTYDLAGKPKTLTIKRDNLGDYFLCLVCETEDNLKPAGGNSVGLDFGLKTFLTCSNGTQIPSPLFFSKFLPLIRACSRSLSKKKRGSHNRLKARLKLARLHRKVQNLRKDFFYKIANSLAKQYATIFIEDLNLKGMVKLWGRKINDLAFGEFVAILERKTQVVKIDRFYPSSKTCSNCGALKEDLSLKDRFFHCPSCGFSLDRDLNASINIHRVGASTLGGEAVRPA*</t>
  </si>
  <si>
    <t>ISScysp2</t>
  </si>
  <si>
    <t>CGAAAAATGGGGTTTAAAGCCCCGCCGTTTAGTGGCGGCTTTTTATTAACTTCTTTTCCATTTTATACTACATGGGTTAGTATAAGAGTAGAAAGGAAAAGAAGATGCTTGTATTTGAGTTTAAAGCTTATGGAAAACCAGCGCAGCTAGTAGCAGTTAATGAAGCTATTCGTACAGCACAATTTATTCGTAATAGCTGCATTCGGCTATGGATGGATAATAAAGATATTGGCAAGAACGACTTGCAGAAATATTGTGCTGTGCTTGCTGCGCAATTTCCATTTGCGGATGAACTCAACTCAATGGCGAGGCAAGCAAGTGCAGAACGAGCATGGTCTTCTATTTTCCGGTTCTATGACAACTGCAACAAAGGGGTATCAGGCAAAAAAGGGTATCCTCAGTTTCAGAAAGATTGTAGGTCTGTCGAATACAAGACATCTGGTTGGAAGCTTGCAGATGAGCGTAAGTCAATAAACTTTACTGACAAAAAAGGCATCGGACGACTAAAGCTGAAGGGAACTCGTGATTTGCACTTCTATCAAGTCAAACAAATCAAACGAGTCCGTTTAGTAAGACGTGCCGATGGTATTTACGTCCAGTTCTGTATTGACATCAATCGTTCTGAGAACATACCTACGACTGGTCGTACGATTGGTCTGGACGTTGGACTGAAGGAATACTACACAGACTCTGACGGAGGAATGGCGGAGAACCCTAAATTCTTGCGTAAAGGAGAAAAAGTTCTCAAACGTTCTCAACGTCGAGTTTCAAAAAAAGAAAAAGGTTCAAAAAATAGAGGTAAAGCTAGACAGATTTTAGGTAAGCGCCACCTCAAAATAAGTAGGCAACGTAAAGACCATGCGGTGAAGCTCGCACGGTGCGTAGTTCAGTCTAACGACTTGATAGCCTACGAAGACTTGAGGATTAAAAATATGGTGAAAAATCATTGTCTAGCCAAGTCTATAAATGACGCATCTTGGTATCAGTTCCGTGTTTGGGTTGAATACTTTGCTAAAGTATTCAAACGAGTCACGGTTGCGGTGAATCCGCAATACACTACACAAGAATGCTCTAGCTGTCGCACAATCGTAAAAAAATCCCTATCTACTAGAACCCACGTATGTAAGTGTGGGTGCGTAATGGATAGGGATGAAAACGCAGCTAGAAATATCCTTAGTCGAGGATTGGGTACGGTAGGGCATACCGGAACCTTTGCGCTAGACGCAAGCAACGCTTGGGGAGATGGAACCTCTACTCAAGAGTGACGCAAGTCTGCCTGAGCAAGTTCTGCCTGTGAACCAAGAATCCCCGCGCATGGCAGGCCGGGGAGTGTCAA</t>
  </si>
  <si>
    <t>MLVFEFKAYGKPAQLVAVNEAIRTAQFIRNSCIRLWMDNKDIGKNDLQKYCAVLAAQFPFADELNSMARQASAERAWSSIFRFYDNCNKGVSGKKGYPQFQKDCRSVEYKTSGWKLADERKSINFTDKKGIGRLKLKGTRDLHFYQVKQIKRVRLVRRADGIYVQFCIDINRSENIPTTGRTIGLDVGLKEYYTDSDGGMAENPKFLRKGEKVLKRSQRRVSKKEKGSKNRGKARQILGKRHLKISRQRKDHAVKLARCVVQSNDLIAYEDLRIKNMVKNHCLAKSINDASWYQFRVWVEYFAKVFKRVTVAVNPQYTTQECSSCRTIVKKSLSTRTHVCKCGCVMDRDENAARNILSRGLGTVGHTGTFALDASNAWGDGTSTQE*</t>
  </si>
  <si>
    <t>ISSkemu1</t>
  </si>
  <si>
    <t>Skermanella mucosa</t>
  </si>
  <si>
    <t>CCAT</t>
  </si>
  <si>
    <t>GCA_016765655</t>
  </si>
  <si>
    <t>KEMB 2255-438</t>
  </si>
  <si>
    <t>CAGAGCCTCCGGCTGGGGACCGCCGCCTTCAGGCGGCGGAGGAAAGCCGGTCGCCCAAAGGGCGAATACCCTTGAGCAGTTGTGACGAGACGGATGTCCGGTATCCTATGTTCATGCTCCGTTCGTTCAAATACCGCCTCTTTCCGAACCCGACGCAGGCCGCCGGGCTGACCGACATGCTTGGAAGCTTCTGCGACCTCTACAACGCCTGTCTCCAGCAGCGTATCGAGGCATACCAGCGGCGGGGCAAATCGCTCGGCTACATCGATCAGGCCAACGAACTGAAAGCGGTTCGGCTGGCGGACGAACGGCTGGCCGGTTACAGTTACTCGGCCGAACAGCAAGTCGTCCGCCGCCTGGACAAAGCATTCAAGGCGTTCTTCGGCAGGGTCAGGAGAGGCAAGGGCGGCTTTCCCCGTTTCCGGGCGAAAAGCATGTTCGACAGTGCCGGCTTCCGGGTCGGTGACGGACTGACAATCTGCAGGAACCGAAAAATCACCGTCGTCGGCATCCCCGGCGAGATCAAGGTGCGGTGGCACCGCGATCTTCCGGCTGGAGCCAAGATCAGTACCGCCGTCGTGATGCGGTCCTGCGGTAAATGGTACATCCGCTTCTCGGTCGAGACACCGGACGCCTACGGCCCGCACCCGTTCCGGGAGGCGGTTGGCGTCGATGTCGGCTTGACCAGTCTGGTCGCCACGTCGGACGGCTGCAGGGTGCCGACGCCGAAGTGGATCGGCAAGGCATCGAAGAAACAGCGACGCCTCCAGCGTGCCCTCGCCCGGTGCAAGCGGGGCAGCAAGAGCAGACTGCGGGCGAAGATGCGGTTGGCTCGGCACGCCGCCCGGACGGCCAGCCAGCGGCGGGACTTTGCCCACAAAGTCTCCCGCGATCTGGTCAACCGCTACTCTCACATCGCCTTCGAGGACTTGAACATCACCGGGCTCGCGAGCGGCATGCTTGCCAAGTCCGTACTCAATGCCGCGTGGGGCCAGTTGATCTCGTTCACCGACTACAAAGCAGCATACGCTGGTGGTCTGGTCGCGAAGGTCAACCCGCGCGGAACTTCCCAGGAATGCGACTGCTGCGGACGGGTGACACCGAAGACGCTGAGTGAGCGCATCCACGACTGTCCCGGTTGCGGGACGGTTGAAGATCGCGACATTCACGCGGCAAAAGTCATCAAGCATCGGGCATTCCCGTGGTCAAAGGGGCTAGGAGCGAGCCTTGAAGCGTCAAGCCAGCGGGTTGCCGCATAGCTTGCTTCAGAAGCCGTCCGCCTTCAGGCGGCGGAGTGTTCAC</t>
  </si>
  <si>
    <t>LSSCDETDVRYPMFMLRSFKYRLFPNPTQAAGLTDMLGSFCDLYNACLQQRIEAYQRRGKSLGYIDQANELKAVRLADERLAGYSYSAEQQVVRRLDKAFKAFFGRVRRGKGGFPRFRAKSMFDSAGFRVGDGLTICRNRKITVVGIPGEIKVRWHRDLPAGAKISTAVVMRSCGKWYIRFSVETPDAYGPHPFREAVGVDVGLTSLVATSDGCRVPTPKWIGKASKKQRRLQRALARCKRGSKSRLRAKMRLARHAARTASQRRDFAHKVSRDLVNRYSHIAFEDLNITGLASGMLAKSVLNAAWGQLISFTDYKAAYAGGLVAKVNPRGTSQECDCCGRVTPKTLSERIHDCPGCGTVEDRDIHAAKVIKHRAFPWSKGLGASLEASSQRVAA*</t>
  </si>
  <si>
    <t>ISPlesp1</t>
  </si>
  <si>
    <t>Pleurocapsa sp. PCC 7319</t>
  </si>
  <si>
    <t>GCA_000332195</t>
  </si>
  <si>
    <t>PCC 7319</t>
  </si>
  <si>
    <t>CGATTCGTGCCGTAAAGCCCCTGGCTTCAGACATGGGGATATAAGGCACGGCTAGCACTTGCTGGGTTAGTTTATGCTTATATGATAGCATAAGAATATGTTAGTTCTAGAGATGAAGATACAAGCCAAGCCAACTCAATACGATGCGATGGATGAAGCCATCAGAACGGCACAATTCATACGCAACAAAGCATTGCGATATTGGATGGACAATAAAGGAGTAGGAAAATACCAGCTATCGGCATACTGTAAAGTACTAGCTGCTGAATTCCCCTTTGCTCACAAGCTAAATTCAATGGCCAGACAAAGCAGTGCAGATCGAGCCTGGGCTGCAATATCTCGTTTCTATCAAAACTGTAAACATAAAACTCCTGGAAAAAAGGGATTTCCTAAGTTCAAGAAGCATTCTCGCTCGGTCGAGTATAAGACTACAGGTTGGAAGCTTTCTGAAAACAGAAAACAGATAACCTTCACCGATCAGAATAATATCGGTCGGGTCAAGCTCAAAGGTACAAGAGATTTGAATTGGTACGATATCAAACAATTCAAACGAGTACGAATAGTTAGACGTGCTGATGGTTATTATGGTCAGTTTTTAGTCGATGCCGACAACCGAGAAAGAGTAGAACCATCTTATTCTGAAATTGGTTTAGACGTTGGCTTGAACTATTTCTATACCGACGACAAAGGGAATCAGATTGAGAATCCTCGGTTTTATCGAAGAGGTGAAAAAGCACTCAATCGCTTAAACCGAAGCAAGTCTAAAAAGTACGTCAAAAGTAAAAAACCACAGTCTAAGAACTATCACCAAGCGAGAAAAAGATACGCCCTAAAGCATCTTAAGATAAGTAGGCAACGTAAAGACCATGCCGTGAAATTGGCACGGTGCGTAATCACATCTAACGATGTAGTCGCTTATGAAGACTTAAGAATTGGCAAGATGGTAAAAAATCACAATCTTGCCAAGTCGATAACCGACGCTGGCTGGTATCAATTTAGAGTGTGGTTAGAGTACTTTGGCTATAAGTTTGGCAAAGTAACAGTTGCCGTACCACCGCAGTATACTTCTGTTAACTGCTCTGGTTGCGGAGCTAAAGTAACTAAAACTCTCAGCACCAGAACTCATAAGTGTAAGTGTGGCTGTGTTCTCGACCGAGATGAAAATGCAGCYAGAAACATCCTCTCTTTAGGATTAAGTACCGTGGGACACACGGGATCTAAAGCTTGGGGAGACGAAACCTCTATCTTGGCTGATGAGAATTTGTCAGGGTAAGTTTTTTCTACGAACCAAGAATCTCCCGCATTCATGCGTGGGGAGTGTCAA</t>
  </si>
  <si>
    <t>MLVLEMKIQAKPTQYDAMDEAIRTAQFIRNKALRYWMDNKGVGKYQLSAYCKVLAAEFPFAHKLNSMARQSSADRAWAAISRFYQNCKHKTPGKKGFPKFKKHSRSVEYKTTGWKLSENRKQITFTDQNNIGRVKLKGTRDLNWYDIKQFKRVRIVRRADGYYGQFLVDADNRERVEPSYSEIGLDVGLNYFYTDDKGNQIENPRFYRRGEKALNRLNRSKSKKYVKSKKPQSKNYHQARKRYALKHLKISRQRKDHAVKLARCVITSNDVVAYEDLRIGKMVKNHNLAKSITDAGWYQFRVWLEYFGYKFGKVTVAVPPQYTSVNCSGCGAKVTKTLSTRTHKCKCGCVLDRDENAARNILSLGLSTVGHTGSKAWGDETSILADENLSG*</t>
  </si>
  <si>
    <t>ISAcisp1</t>
  </si>
  <si>
    <t>Acinetobacter sp. YH16040_T</t>
  </si>
  <si>
    <t>tTTTAT</t>
  </si>
  <si>
    <t>GCF_024605785</t>
  </si>
  <si>
    <t>YH16040_T</t>
  </si>
  <si>
    <t>CAAATGGAGCGTAAAACTCTGTCCTTCAGGTCAGAGATATAAGCGACACGACATGAAGTGTCGTTTGATTTAACTAAGGACTATTTTCCTTGAGTTTTGATTGTTAATATAAGTACATGAAAACCCTTAAATTACGTATAAAAGACAAACATTGCAAGGTGTTAGACCAACTAGCATCAGAAGTGAACTTCGTCTGGAATTATGTCAATGATTTAGGGTTTAGGCATTTGAAGCGGAAAGGTGAATTTCTCTCTGCTTTTGATATTGCCAAATATACGAAAGGCACATCCAAAGAATGTAATTTACATAGTCAAACCATTCAGGCTGTAACTGAAGAATTAGTCACCCGAAGAAAGCAATTTAAAAAGGCAAAGCTGAAATGGCGTGTCAGCAATAAAAAATCAGCAAGGCGCTCTTTGGGATGGGTTCCCTTTAAAAAGGTGGCTATCAAATATGCCAATGGATATGTCCAGTATGGAAAACACCAATTTAAGCTTTGGGATAGCTACGGTTTAAGCAAATACACGTTAAAAACAGGTTCATTTGTAGAGGATAGCCGTGGGCGTTGGTATGTATGTCTTGTTGTTGAATCGCCTAAGCAAGATAAATCGACAGCAACCAAAGCGATTGGTATTGATCTAGGCTTAAAAGATATTGCCACCTGTTCTGATGGCACTGTAATTTCAAATCCAAAATTCTATCGAAAATATGAGCAGAAATTAGGTATTGCTCAGAGAGCCAGGAATAAGAAGCGTGTTCGTGCATTACACGCCAAGATTGCAAATAGTCGAAAAGATCATTTGCATAAAGCAAGCACCAAGCTTGTGAATGAAAATGCATTGATTATTGTAGGTGACTTGAGTGCTAAAAAATTAGTAAAAACCAAAATGGCAAAATCTGTTTTGGATACAGGATTTTCTGCACTAAAAACAATGCTCAAGTATAAATGCGAGAACGCAGGCGTATTGTTTGAAGAAGTCCAAGAAGCCTATACCACCCAAATCTGTTCGTGCTGCGGTGAGATCACCTCAAGTAGTCCAAAAGGTAAGACAGATCTTGGAATAAGAGAATGGGAGTGCATGAGCTGTGGTACAGCTCATGATCGAGATATAAACTCAGCTCTAAACATTCTTGCGCTTGGGCATAAGCGTCTAGCTGTAGGAATCACCCTCTTTTAAGGGGGTGAGGATGTCAA</t>
  </si>
  <si>
    <t>MKTLKLRIKDKHCKVLDQLASEVNFVWNYVNDLGFRHLKRKGEFLSAFDIAKYTKGTSKECNLHSQTIQAVTEELVTRRKQFKKAKLKWRVSNKKSARRSLGWVPFKKVAIKYANGYVQYGKHQFKLWDSYGLSKYTLKTGSFVEDSRGRWYVCLVVESPKQDKSTATKAIGIDLGLKDIATCSDGTVISNPKFYRKYEQKLGIAQRARNKKRVRALHAKIANSRKDHLHKASTKLVNENALIIVGDLSAKKLVKTKMAKSVLDTGFSALKTMLKYKCENAGVLFEEVQEAYTTQICSCCGEITSSSPKGKTDLGIREWECMSCGTAHDRDINSALNILALGHKRLAVGITLF*</t>
  </si>
  <si>
    <t>ISGeosp1</t>
  </si>
  <si>
    <t>Geobacillus sp. E263</t>
  </si>
  <si>
    <t>tTCAC</t>
  </si>
  <si>
    <t>GCF_007197795</t>
  </si>
  <si>
    <t>E263</t>
  </si>
  <si>
    <t>GAGAACATCCGCCGGAAGCCCACTGCTTTAGCTGTGGGAGGAAGGCGGGGTTTATATTTTCAGTATATATTGAATTTTTCGTTCAATATAAGTACACTGGATTTAGAAAGGTAGGTGAATCAAGAATGCTCTGCACTCTCAAGATTAAATTAATGCCAACTCTTGAACAGTTTCATGCGCTGCTGGAAACAATGAAACGGTTTAACCAAGCATGCAACTATATTAGCGAGATTGCTTTTCGCTCCAGAACCTTTTCCAAAACGAAAATCCAGCGGCTTTGCTACTATGACGTCAGGGAAAAATTTGGCCTCTCTGCCCAAATGACCGTTCGTGCCATCGGCAAAGTGTCGGAAAGCTATCGTTTGGATAAAAAAACCTTGCATAACTTTAAAGAAACCGGTGCCATCGTGTATGATGAAAGAATCCTGTCCTTTAAAGGGTTAGAGTATGCTTCCATCCTTACCTTGCAAGGAAGAATGGAAATCCCTATGGTCATTAGCCGCTACCATCAAGGTTTGCTGTGCGGCAACCGTGTTCGGGGTCAAGCCGATTTAGTCCTTCAAAACGGTATTTTTTATTTACTGCTCGTGGTGGACGTTCCCGAAGGCCAGCCCAATTCCGAAAACGGATTTATCGGTGTGGACCTTGGCATCATTAATATCGCCGTCGATAGCACCGGTGAGGTATTTTCCGGCTCGAAGGTCAACGGGCTGCGCCGCCGCCATGCGAAACTTCGCGCCAAACTCCAAAAGAAAGGCACCAAGTCAGCGAAACGCCTGCTTAAAAAGCGTTCCAAGAAGGAAAAACTATTTGCCCGTGATGTGAACCACTGCATTAGCAAGAAGATTGTTGAAAAGGCAAAGGCACTCGGATGCGGCATTGCCCTTGAAGATTTAAAGGGCATCCGCCAACGCACCGAGAAAACGGTTAAAAAGCAACAGCGTCGTCAACACTCTTCTTGGTCTTTTTATCAGTTGAGAAAGTTTATTGAGTATAAAGCGGCGATCGCTGGCGTGCCGGTGGTATTGGTTCATCCAAAAAATACTTCCCGCACCTGTCCGGTTTGCGGACATGTGGCCAAAGAAAACAGACCGTCAAGGGATCAGTTTTGTTGTCGAGCTTGTGGGTACGCTGCCCCTGCCGACAACGTGGCTGCGGAAAACATCCGCAGGGCTGCTGTCAACCAGCCGAACGCGGCAGCCAATTAGGCTAGTTGCAAGCCCACGGCTTTAGCCGTTGGGTAGTTGAC</t>
  </si>
  <si>
    <t>MLCTLKIKLMPTLEQFHALLETMKRFNQACNYISEIAFRSRTFSKTKIQRLCYYDVREKFGLSAQMTVRAIGKVSESYRLDKKTLHNFKETGAIVYDERILSFKGLEYASILTLQGRMEIPMVISRYHQGLLCGNRVRGQADLVLQNGIFYLLLVVDVPEGQPNSENGFIGVDLGIINIAVDSTGEVFSGSKVNGLRRRHAKLRAKLQKKGTKSAKRLLKKRSKKEKLFARDVNHCISKKIVEKAKALGCGIALEDLKGIRQRTEKTVKKQQRRQHSSWSFYQLRKFIEYKAAIAGVPVVLVHPKNTSRTCPVCGHVAKENRPSRDQFCCRACGYAAPADNVAAENIRRAAVNQPNAAAN</t>
  </si>
  <si>
    <t>ISTolbo2</t>
  </si>
  <si>
    <t>atTTAC</t>
  </si>
  <si>
    <t>CAAGAGAATGGGTCTAAAGCCTCGCCCTTCTAGGGCGACTTTATTTGTGTTATAATATTTTGCGTAGAAGTTTTCCACGGAAAATGATTGTTTTAGAATTCAAAGCCAAAGGGAAAACGACTCAATATACTGCCATTGATGAGGCGATTAGGACGGCTCAATTTGTTCGCAATAAGAGTATCCGTTTTTGGATGGATAATCGAGGCGTGGGACAAAAAGAAATGTATCGCCTTAGTAAGTCATTGAGAAGAGAATTCCTATTTGTAAAAGCTCTGAATTCTAGTGCTTGCCAAGCTTCTATTGAACGGGCTTATAGTTCTATTGCTCGTTTTTACGACAACTGCAAAAAGTCTGTTCCGGGTAAAAAGGGATATCCAAAGTTCAAGAAAAATTCTCGCTCAGTGGAGTATAAAACCTCTGGGTGGTCACTTTCCGAGACCAGGAAACAAATAACCTTCACCGACAAAAAAGGTATTGGTACGCTCAAGCTGAAAGGAACATGGGATTTAAACTTCTACCAATTAGAACAGGTAAAACGAGTTAGATTAGTTCGTCGTGCTGATGGGTATTATGTTCAATTTCTGATTAGTGTAGACAACAAATTAGAAACACAACCCACAGGGAAAACCATTGGTTTGGATGTAGGACTTAAAGAATTCTATACCGACAGCAATGGACATAGTGAACCTAACCCAAGGTTTTATCGCACAGGAGAGAAACGTCTAAAATTTAGACAAAAGCGCGTTTCTCGTAAAAAGAAAGGCTCTGCCAACCGTAAGAAAGCTATTAATAAATTAGGGCGAGTACACCTCAAAATAAGTAGGCAACGTGAAGAACACGCCAAGAGACTGGCGCGTTGCGTAATCCAATCTCACGACTTGGTATCCTATGAAGATTTGAGGATTAAAAATTTAGTGAAAAATCACTGTCTCGCTAAATCTATTAATGATGCTGGTTGGTATAAATTCAGAAAATGGTTGGAGTATTTTGGGGTGAAGTTTGGCAGGATAACTGTTGCGGTTAACCCCGCCTACACTTCTCAAGAATGCTTCAGTTGTGGCGCAATAGTCAAAAAATCTCTATCTACAAGAACCCATGTTTGCGAATGCGGCTTTGTAATAGATAGAGACTCGAATGCCGCTATCAATATTCTGAAATTAGCCTTGAGTACCGTAGGGCATACGGGAACTTGGATCTACTATCCGAACGCTTCAGGAGATTCGACCTCTACTCATACTGGAGAAATCCTGTATCAGCAAGTTGGGTCTGTGATTGAAGAATCTTCGCCCTTATAGGGCGGAGAGTGTCAA</t>
  </si>
  <si>
    <t>LCYNILRRSFPRKMIVLEFKAKGKTTQYTAIDEAIRTAQFVRNKSIRFWMDNRGVGQKEMYRLSKSLRREFLFVKALNSSACQASIERAYSSIARFYDNCKKSVPGKKGYPKFKKNSRSVEYKTSGWSLSETRKQITFTDKKGIGTLKLKGTWDLNFYQLEQVKRVRLVRRADGYYVQFLISVDNKLETQPTGKTIGLDVGLKEFYTDSNGHSEPNPRFYRTGEKRLKFRQKRVSRKKKGSANRKKAINKLGRVHLKISRQREEHAKRLARCVIQSHDLVSYEDLRIKNLVKNHCLAKSINDAGWYKFRKWLEYFGVKFGRITVAVNPAYTSQECFSCGAIVKKSLSTRTHVCECGFVIDRDSNAAINILKLALSTVGHTGTWIYYPNASGDSTSTHTGEILYQQVGSVIEESSPL</t>
  </si>
  <si>
    <t>ISStral1</t>
  </si>
  <si>
    <t>Streptosporangium album</t>
  </si>
  <si>
    <t>tTCAT</t>
  </si>
  <si>
    <t>GCA_014203795</t>
  </si>
  <si>
    <t>DSM 43023</t>
  </si>
  <si>
    <t>CGAAAACCTCCAGCGTGGAGACCCCGGGCTTTGGCCCTGGGGAGGAAACGCGGCACGGTGCCGCACGGTTTAAATCGAACATGCGCGCGATTTTCAGCTGATCGTTCGGTACGATGCGAGGCGTGGCGCAGATCGTGAAGCGGGCGTTCAAGTTCCGCTTCTACCCGACCCCCGAGCAGGCTGATGAGCTTGCCCGGACGTTCGGCTGCGTCCGCCTCGTCTACAACAAGGCCCTGCAGGAGCGGACCCGCGCCTACCGGTCGGAAGGCCGCAAGGTCTCCTACGTGGAATCGTCGGCCGCGCTGACGGAGTGGAAACGCACCGAGGAGCTGGATTTCCTGGCCGAGGTGTCGTCGGTGCCGTTGCAGCAGGCGTTGCGGCACCTGCAGACGGCGTTTGCGAACTTCTTCGCCCAGCGGGCCGGGTACCCGGCGTTCAAGTCCCGGAAGAAGTCCCGGCTGTCGGCCGAGTACACCCGCTCGGCGTTCCGCTACCACGACGGGCGGCTCACCCTGGCGAAGATGGACGCCCCGCTGAACATCGTGTGGTCGCGCCCGCTGCCCGAGGGGGCCGATCCGTCCACGGTGACCGTGTCGAAGGACGCGGCCGGGCGCTGGTCGGTGTCGATCCTGTGTGAGGACACCGTCCGGCCTCTGGACCCGACCTCGGACATGGTCGGGGTGGACGCCGGGATCACCGCGCTGGTCACCCTGTCGCGTCCGATTCCGGGCGTGACCGACGACGACGGCAAGGTCACCAACCCCCGCCACGAACGCGCCGACCGCAGGAGACTCGCCCGCGCGCAGCGGATACCGGCCCGCAAGGAGAAGGGGTCGGCGAATCGGGACAGGGCGAGGGTGAAGGTCGCCCGGGTGCATGCCCGGATCACCGACCGTCGCCGCGATGTCCTGCACAAGCTCACCACCGCGATCGTCCGCGAGAACCAAGTGGTCGTGATCGAGGATCTCACCGTGCGTAACCTGGTGAAAAACCACAGCCTGGCCCGCGCGATCTCCGATGCGAGCTGGCGGCAGATGCGCACCATGCTGGAGTACAAGGCGCAGTGGTACGGGCGGGAGCTGCTGGTGGTGGACCGGTGGTTTCCCTCCTCGAAGCTGTGCTCGGCGTGCGGCGCGCTCCAGCGGTTCATGCCGCTGAACGTCCGCGACTGGGTGTGCGCCTGTGGCGTGGTCCATGACCGTGATGTGAACGCCGCGAAGAACATCCTCGCCGCCGGGCTGGCGGAGAGGTGAAACGCCTGTGGAGCCGGTGTAAGACCTCAAGGGCGCAGGCCCGGCGGGCGACTGGCGGTGAAGCAGGAAACTCCACCCGTGAGGGTGGGAATCCTCCGGCTTCAGCCGTGGGGAGGAAGTCAA</t>
  </si>
  <si>
    <t>MRGVAQIVKRAFKFRFYPTPEQADELARTFGCVRLVYNKALQERTRAYRSEGRKVSYVESSAALTEWKRTEELDFLAEVSSVPLQQALRHLQTAFANFFAQRAGYPAFKSRKKSRLSAEYTRSAFRYHDGRLTLAKMDAPLNIVWSRPLPEGADPSTVTVSKDAAGRWSVSILCEDTVRPLDPTSDMVGVDAGITALVTLSRPIPGVTDDDGKVTNPRHERADRRRLARAQRIPARKEKGSANRDRARVKVARVHARITDRRRDVLHKLTTAIVRENQVVVIEDLTVRNLVKNHSLARAISDASWRQMRTMLEYKAQWYGRELLVVDRWFPSSKLCSACGALQRFMPLNVRDWVCACGVVHDRDVNAAKNILAAGLAER</t>
  </si>
  <si>
    <t>ISCalth1</t>
  </si>
  <si>
    <t>Caldibacillus thermoamylovorans</t>
  </si>
  <si>
    <t>GCF_003096215</t>
  </si>
  <si>
    <t>SSBM</t>
  </si>
  <si>
    <t>CAAAAATCGGCAAGGATACCCCAACTTCAATCGTGTGTAGGGCGACAGCCCAACGATAAGTGGGGGAGGAATTGCCGTCAGATACGATAGTATCTGAAACCTACACCTTGCCTCCTCCTTTCTCTGTTTTAGTTGTTTCTTCACTAAAAGTATAATATAATTAATTTCAGTGAAAGGTGGTGAACATAATGACTACAATTACTGCAAAAATACAAATCTATGTTTCTAGCGACCAATCTAAAAATCTAATAGCAACCACTAATGCTTATCGTAATGCTTGTAATTGGTTGTCCAAGCATGTATTCCAGACAAAAATCTTAAAGCAAGCAAAACTTAATGATTTGTATTACAAGCAATTACGAGGTCAATTTGGATTAAAAAGTCAAATGGCTCAATCTGTCATGAAAACTGTCATTGCTCGTTATAAGTCAGCTAAATCAAATGGACACGAATGGTCTTTAATTGAATTTAAACTTCCAGAATATGACCTTGTATGGAATCGAGATTACTCGCTAACCGAAAATAAATTTAGCGTAAATACACTGGATGGGCGTATCAAACTAAATTATGAGCGTAAAGCCATGAAGAAGTATTTTAATGGCACTTGGAAATTTGGTACTGCCAAGTTAGTGCATAAATTTCAAAAGTGGTTTTTGCATATTCCTGTGACGAAAGATTTTTCAGAACTTGATTATGCCGACATAAATAATATTGTTGGCATAGACTTAGGAATTAACTTTCTTGCAACCACTTATGACAGTCAAGGTAAAACTACGTTCTACAATGGTAAAATTGTAAAACATAAACGTGGTAAGTTTAAAGCGACTCGTAAACAACTTCAAAAGAAACAAACACCATCTGCTCGTAAAAAACTAAAACAATTAGGGTCAAGAGAAAACCGTTATGTAACTGATGTAAACCATCAAGTTACGAAGGCACTCGTTGACAAATACCCTAGAGGTACGATGTTTGTTTTGGAAGACTTGACAGGTGTTCGTTCCGCAACTGAAAAAGTACAAGTAAAAAACCGCTATGTTTCTGTTTCTTGGGCTTTCTATCAATTCCGTCAAATGCTTGAATATAAAGCTCAATTAAATGGACAGAAGGTAATAGTTGTAGACCCAAAATATAGTTCTCAAACGTGCCCTAAATGTGGGCATGTTGAAAAAGCGAATCGAAACAAGAAATTGCACTTGTTTAAGTGTAAAAACTGCCAATACGAATCAAATGATGATCGAGTGGGTGCAATGAATCTACACCGCAAAGGTATTGAGCATATTGGTGTAGTTACCGCAGGAGTATAGCTTTTGCGGTAGGGGCGAAGTCAACCGTCCTGATGTTCCACCACTCGAAGGCAGGAGGCTTACGCCGTTCGTACTGCTGGGTAGGAACAAGCGTAATTGCTATCTACGAGGGTAGAAGCACTGTCAAACTCTGACAGACGCAAGCCCCCACTTCAAACAGACCGTTAGGTCGTTAAGTGGTGGGTTGTTGAC</t>
  </si>
  <si>
    <t>MTTITAKIQIYVSSDQSKNLIATTNAYRNACNWLSKHVFQTKILKQAKLNDLYYKQLRGQFGLKSQMAQSVMKTVIARYKSAKSNGHEWSLIEFKLPEYDLVWNRDYSLTENKFSVNTLDGRIKLNYERKAMKKYFNGTWKFGTAKLVHKFQKWFLHIPVTKDFSELDYADINNIVGIDLGINFLATTYDSQGKTTFYNGKIVKHKRGKFKATRKQLQKKQTPSARKKLKQLGSRENRYVTDVNHQVTKALVDKYPRGTMFVLEDLTGVRSATEKVQVKNRYVSVSWAFYQFRQMLEYKAQLNGQKVIVVDPKYSSQTCPKCGHVEKANRNKKLHLFKCKNCQYESNDDRVGAMNLHRKGIEHIGVVTAGV</t>
  </si>
  <si>
    <t>ISPhoda1</t>
  </si>
  <si>
    <t>Photobacterium damselae subsp. damselae</t>
  </si>
  <si>
    <t>ttTTAC</t>
  </si>
  <si>
    <t>GCA_014930975</t>
  </si>
  <si>
    <t>KC-Dl-1</t>
  </si>
  <si>
    <t>CTAATAGCGCGTAAAGCCTCGCCCAATCGGGCGGGGATACAAGCGCATACCGCGAAGCGGTATTTACAATAGTTGAAGCTTTCTGTAAAGTGAGCCGTATGAAACGAGCATACAAAGAAAGATTCTATCCAAATGAGCAGCAAGCCGAACTACTAGCCAAGTCGTTTGGTTGTTGTCGTTTCGTTTGGAATAACTCTCTCAAGTACCGCACTGACGCTTATTATGAGCGCGGTGAATCTATTGCTCACTCAGTCCTAGAAAAACGATTAGTACCTTTAAAAGCAGAGTTTGAATGGCTCAAAGAGGTATCAAGCGTAATATTCCAACAAGCATTGCGCGATCAACAAGAGGCATTTAAAAACTTCTGGGATAAACGCGCAAAATATCCAAAATTCAAGTCAAAGCATGACAAACAATCAATTCGATTAACCAAGGCCGCTTTTAAATACAAAGATGGTCTATTGTTCATTGCTAAGTCCAAACAGCCGCTTGATATTCGTTGGTCGCGTAAACTATTAAGCGAGCCGAGCTCCATCACCATCTCAAAAGATAAAGCTGGTCGATATTTTGTGTCGATGCTTTGTGAATTTGAGTCTAAACCAATGCCTATAACCGTTAAAACGGTTGGTATTGATTTGGGTTTAAATAACCTGTTCATCACAGACAGCGGTGAGAAAGTCGATAATCCTCGCCACACTAAACGCTACGAAAACAAATTGGCATATCTACAACGTCAACTAGCCAAGAAAAAGAAAGGCAGTAAGAACCGTGACAAGATACGCCAGAAAGTAGCCCGTCTACACGCAAAAATTGCTGATAGTCGATTAGATAACTTGCACAAGTTGTCTCGCAAACTCATAAACGAAAACCAAGTTGTTTGTGTTGAGTCGTTAGCCGTGAAGAATATGATCCGTAATCCAAAACTGTCAAAGCATATCGCTGATGCTTCGTGGGGCGAGTTCGTCCGTCAATTGAAGTACAAAGCTGAATGGGCTGGACGCACTATCGCAGAGATAGACCAATTTTTCCCTAGCTCAAAGCGTTGTAGTTGTTGTGGGTTCGTACATGAATCAATGCCGTTAAATATCCGTAACTGGTCTTGTCCAGAGTGTAATACGTACCATGATCGTGATATTAATGCAGCGATGAATATAAAAACCGTCGGACTGGCGGGGTTAGTCTAAGGAGCGACTGGATCGGGGATAGCCTCGTAAGAGGCTATCTAGTGAAAGCGTGTTGAGCTAGAAATTGTTCTTGTAGCAATATAAGAACCCTCGCCCCTTGGGGCGGGGAGAAGTCAG</t>
  </si>
  <si>
    <t>MKRAYKERFYPNEQQAELLAKSFGCCRFVWNNSLKYRTDAYYERGESIAHSVLEKRLVPLKAEFEWLKEVSSVIFQQALRDQQEAFKNFWDKRAKYPKFKSKHDKQSIRLTKAAFKYKDGLLFIAKSKQPLDIRWSRKLLSEPSSITISKDKAGRYFVSMLCEFESKPMPITVKTVGIDLGLNNLFITDSGEKVDNPRHTKRYENKLAYLQRQLAKKKKGSKNRDKIRQKVARLHAKIADSRLDNLHKLSRKLINENQVVCVESLAVKNMIRNPKLSKHIADASWGEFVRQLKYKAEWAGRTIAEIDQFFPSSKRCSCCGFVHESMPLNIRNWSCPECNTYHDRDINAAMNIKTVGLAGLV</t>
  </si>
  <si>
    <t>ISEubsp1</t>
  </si>
  <si>
    <t>Eubacterium sp. AB3007</t>
  </si>
  <si>
    <t>GCA_000688015</t>
  </si>
  <si>
    <t>AB3007</t>
  </si>
  <si>
    <t>CTAAAAGCTTAACGAGAAAACCCCCACTTCTGCAAGTGGAGGGATGAATCGTTCGGTATGGGCCAAAGAATGCTATACGGCTATACCCTCGAGTGTCGCTCTGCAGGAGAGCCATTTCTGAGTAAAATGCCAGGAACTTCCTGTTTCGATATTGCATAAACGGATGACATGTGATACGATAAGAACATACGTTCGGAGGTGTATCATGAAGCGTATCAGAGGATACCGGTATCGCGCATATCCAGACCGGAAACAGCAGGCGTTCTTCGCACGGACCTTTGGGGCCTGTCGTTTTGTATATAACTACTATCTTGAACAGAAGAAAACGTTTTGGGAGGAGTGTCATGACACGCTGAAATACACAGAAGAAAGCAGAGATCTGTCCCATCACCTGAAAAAGGAGGCACCATGGCTGAAAGAAGCTGACAGCATCGCGCTGCAGCAAGCCCTGAGACACCTGGAACAAGCATATGAGAACTTTTTTCAGAAGCGAGGAGGGTATCCGAAGTTCAAAAGCAAACGGCATGCTCAGAGTTACCGAACGATGAATGTAAATGGCAGCATCCGGATCGGAGGAGACCGGATCCGGGTACCGAAAGCGGGAGAAGTTAAGATCCGAAATACAAGAGTCTTTGACGGAAGGATCCTGTCGGCCACGGTATCCATGACAGCCAGCGGGAGGTATTACATCACGCTGCAGGTAGAGGAGGAGGCAGAAGTGCTTCCGAACAAAGGAGGAGAAACGGGGCTGGATGCTGGGCTGACGGTCCTGTATACTGATTCATCCGGGAAGAGCGTTCCGAACCCAAGGACACAGAAGAAGCACGAGAAGAAGATCGCAAGACTTGCGAAGAAGCTGTCGAGAAAGAAGAGAGGATCGAAGAACCGGGAGAAGGCAAGGAAGAAACTTGCGAGAGAACAGGAGAAGGTAGCAGACATCAGAAGAGACTATTTGCATAAGGAGACCTGTCGGCTGGCGAACGAGAACCAAGTCGTCTGCGTAGAGGATCTGAATGTAAAAGGGATGATGAAAAACCACAGGCTCGCCAGGTCCATCGGAGACGCGTCGTGGGGGGAGTTCTACCGGATGCTGGAATACAAGCTGGCAGATCATGGCGGGGTACTGGTGAAGGTACCGCGGACATTCCCGTCAAGCCAGCAATGTTCGTGCTGTGGAAAGAGAAACACGGGGGTCAAGGATCTTTCGGTCAGGAGATGGAAGTGCCCGGTGTGTGGAGCGCTGCATGACAGAGATGTGAATGCAGCGATCAATATACTGAAGAAAGGGAAGGAGATCCTGGCGGCATAGAGCCTCTGGGACGAAATATCGTACCGTGGGTCGCACGGGAAGTAAAGCCTGTGGAGAGAGTGTAAGACGGAGTTCCCAAGGGAACCTGCAGTTCTCGATGAAGCAGGAATCCCCCACTTCAAATACGCGTCAGTGTATTAAGTGGTGGGAGCGTTCAA</t>
  </si>
  <si>
    <t>LHKRMTCDTIRTYVRRCIMKRIRGYRYRAYPDRKQQAFFARTFGACRFVYNYYLEQKKTFWEECHDTLKYTEESRDLSHHLKKEAPWLKEADSIALQQALRHLEQAYENFFQKRGGYPKFKSKRHAQSYRTMNVNGSIRIGGDRIRVPKAGEVKIRNTRVFDGRILSATVSMTASGRYYITLQVEEEAEVLPNKGGETGLDAGLTVLYTDSSGKSVPNPRTQKKHEKKIARLAKKLSRKKRGSKNREKARKKLAREQEKVADIRRDYLHKETCRLANENQVVCVEDLNVKGMMKNHRLARSIGDASWGEFYRMLEYKLADHGGVLVKVPRTFPSSQQCSCCGKRNTGVKDLSVRRWKCPVCGALHDRDVNAAINILKKGKEILAA</t>
  </si>
  <si>
    <t>ISPaesp1</t>
  </si>
  <si>
    <t>Paenibacillus sp. FSL R5-0912</t>
  </si>
  <si>
    <t>gTTAT</t>
  </si>
  <si>
    <t>GCA_000758605</t>
  </si>
  <si>
    <t>FSL R5-0912</t>
  </si>
  <si>
    <t>CTAAAAAAGCTGAGAATACTCCACCCTCGATAGGGTGGGGATGAATCAGTAGTTTTCGATTTCAAGACGAACRTATGTGCTATAATATGGATGAGATCACTAAAAGGAGGTGTTGCACATGCTCGTGTCTGCGCAGGAGGTTTCTTCGAAACCCCTGGTTCATCAAGCCTATAAATATCGGATCTACCCCAATACAGAGCAACAGCAACTCATTCGTCGAATGTTTGGCTGCTGCCGTTTTGTGTTCAATTACTTCTTGGGAGCTTGGAATCAAAGCTATGCGGAAACGGGAAAAGGCTTGTCTTATCACGCTTGTGCGACACAACTCCCCGGTTTAAAAGCACAATACGACTGGCTGAAAGAAGTCGATAGCATCGCTTTGCAGTCGGCTGCYCGTCATGTGGCGGATAGCTTTGATCGTTTTTTCAAGAAGCAAAATCAAGCGCCACGCTTCAAGAGCCGAAAGCATCCGATTCAAAGTTACACGACCAAATTCACCAACGGGAATATCGCCATGGAGGGCAGTCGCTTGAAGCTCCCCAAACTCGGCTGGATACGTTTTGCAAACTCCCGGAAGCTGGAAGGCCGGATATTGTCCGCTACCGTTCGTAAAAACGCCAGCGGGAAATTTTTCGTCTCGCTCGTTTGCGAAGTTCAAAAGAACCCTCTGCCCCAAGTGGATACACCTATTGGCATCGACTTAGGCTTGAAAGAATATGCAGTATGCTCAAACGGCGAACATATCGCCAATCCTCGCTTTTACCGTCAATACGAGAACAAGCTGGCGCTTTGGCAGCGGCGGATGGCTCGGCGTACTCCGGGCGGCTCCAACTGGAAGAAAGCAAGGCAGCATATCGCTCGTATTCACGAACGCATTGCCAATAAACGAAATGACTTCCTCCACAAGCTGACCACGAGACTGATTCGTGAAAACCAAACGATTAGTATCGAACATCTGCGTGTGGCGAATATGATTCAGAACCCCAAGYTTTCAAAATCCATTGCTGATGCGTCTTGGGGCGAGTGGGTGCGACAGCTGACGTATAAAGCGAAATGGTATGGACGAAATCTTCGGATCGCCGAMACGTTTGAGCCGACCAGTCAGCGTTGCCATGTGTGTGGCACAATCCACCCCGAGGTGAAGAACCTGTCCATTCGGGAATGGACGTGTACGGCCTGCGGGACGATCCATGACCGTGACGAAAACGCCGCTCACAATATTGAACAAGTAGCGGTTTAACCCCCACCTAACCAAACGATAGAATTCAACATTTCACTAGCGTCAAAAATGTAAAACTGCGGGAACGCAGGGATCGCTTGCTCCATAAGAAGAGGGTACTCTTCTGTTCGCAAGAATCCGCCACTTCAAGCGTTAGCTAAGTGGGGGAGAATTCAA</t>
  </si>
  <si>
    <t>LHMLVSAQEVSSKPLVHQAYKYRIYPNTEQQQLIRRMFGCCRFVFNYFLGAWNQSYAETGKGLSYHACATQLPGLKAQYDWLKEVDSIALQSAARHVADSFDRFFKKQNQAPRFKSRKHPIQSYTTKFTNGNIAMEGSRLKLPKLGWIRFANSRKLEGRILSATVRKNASGKFFVSLVCEVQKNPLPQVDTPIGIDLGLKEYAVCSNGEHIANPRFYRQYENKLALWQRRMARRTPGGSNWKKARQHIARIHERIANKRNDFLHKLTTRLIRENQTISIEHLRVANMIQNPKXSKSIADASWGEWVRQLTYKAKWYGRNLRIAXTFEPTSQRCHVCGTIHPEVKNLSIREWTCTACGTIHDRDENAAHNIEQVAV</t>
  </si>
  <si>
    <t>ISHalsp1</t>
  </si>
  <si>
    <t>Halomonas sp. GFAJ-1</t>
  </si>
  <si>
    <t>tTTAG</t>
  </si>
  <si>
    <t>GCF_002966495</t>
  </si>
  <si>
    <t>CAAAAATCCGCGTAAACCCTCGCCCGATTGAGGGCGGGGATACAAGCGGGCAGCGCGCTAGCGCTGCAGGGGTTGTAGTTTCGTATTTATCTGGCACTATACATTCATACAGTCAACGAGTTGAAGCCGTTGTGTTAACAGCCACCAAAGTACGCATCTACCCCACCCCCGAACAGGCTGATTTCTTGAATCAGCAATTCGGGGCGGTGCGGTTTACGTACAACAAGGCACTGCACATTATCAGCTCGCAGTACAAGCGCCATGGCACCAAGCTGCGCGCTAAGAAAGACCTCAAGCCGTTGTTGGCGGTGGCGAAGAAGTCTCGCAACTACCACTGGCTCAAAGCGTTTGATTCTATCGCACTGCAACAGGCGTGCATTAACCTGGATCGCGCCTTCCAGAACTTCTTTAACCCCCAGCTWAAAGCCCGCTATCCGCGCTTTAAACGCAAGCATGGCAAGCAATCGAGCTATCACTGCACCAGCGTTAAGGCGGGTGATGACTGGATCAAAGTCCCCAAGCTTACGCCGATTAAAGCCCGAATCCATCGAGAGATCGCCGGCACGCTGAAAAGCATCACACTGACCCGCACCCCCACGGGCAAGTATTTTGCCTCGCTGCTGGTGGAGGATGGTGTGGAGGCAGCCGCACCGCTGCAAACGGTGGAGACGGTGCTGGGGGTCGATATGGGCTTAACGCATCTGGCCATCGACTCCACTGGCCGCAAGGTCGCCAATCCTCGCTTCTTGAAGCTGGCGTCTGCCAACCTACGCCGCAAGCAGAAAGCGCTTTCACGCTGCCAGAAAGGTAGCAAGCGCCGTGCGAAAGCGCGGCTAATGCTCGCCAAGGCGCACGAGCGGCTGGSGAATGTGCGTGCTGACTTCCAGCACAAACTGTCTCGACAACTCATTGACGACAACCAAGCGGTGGTGGTCGAGACACTGAGCGTGAAAAACATGCTCAAAAACCGCAAGCTGGCCAAGCATATTGCCGATGCCAGTTGGAGCAGGTTGATCGAAAAACTGGCGTATAAGGCGAAGCAGCAAGGCAAGCATCTGGTCAGAATCGACCAATGGTTCGCCAGCTCCAAAACCTGCGCGGGCTGCGGCCACAAAGTCGAACAAATGCCCCTCAGTGTCCGCACCTGGGATTGCCCAAGCTGTGGCACAAAGGCGATTGACCGTGACGTAAACGCCGCGATCACTATTCGCCAGCAAGGCATTTTAAAATTAAAGGCGGAAGGGCTGTCCGTCTCTGCCCATCGAGGCCTGTGTAAGACCGGTCACGCACCGGCTGCGGCCTAAGACGTGGGAAGCCTCACCCGTGGTTGCGTAGCGACGTAGGGTGGGGAGCAGTCAC</t>
  </si>
  <si>
    <t>LNQQFGAVRFTYNKALHIISSQYKRHGTKLRAKKDLKPLLAVAKKSRNYHWLKAFDSIALQQACINLDRAFQNFFNPQLKARYPRFKRKHGKQSSYHCTSVKAGDDWIKVPKLTPIKARIHREIAGTLKSITLTRTPTGKYFASLLVEDGVEAAAPLQTVETVLGVDMGLTHLAIDSTGRKVANPRFLKLASANLRRKQKALSRCQKGSKRRAKARLMLAKAHERLXNVRADFQHKLSRQLIDDNQAVVVETLSVKNMLKNRKLAKHIADASWSRLIEKLAYKAKQQGKHLVRIDQWFASSKTCAGCGHKVEQMPLSVRTWDCPSCGTKAIDRDVNAAITIRQQGILKLKAEGLSVSAHRGLCKTGHAPAAA</t>
  </si>
  <si>
    <t>ISHeyfa1</t>
  </si>
  <si>
    <t>Heyndrickxia faecalis</t>
  </si>
  <si>
    <t>GCA_018101145</t>
  </si>
  <si>
    <t>Marseille-P8953</t>
  </si>
  <si>
    <t>CGGCTTTCCGAAAGAAGTCTCCCATCCTCAAGGAATGTGAAGGTGCGAATCGCACCAATGAGTAGGTGGGAGATGAATTTCGGTTGGCTTTAGCCAAAGTTATTTTTCCAATCCTTTTCTCAACAATTCTAAGATTGCGGCTGTTCTAGTTGGAATCCCATTTTCTTTTTGATATTGCTCCAATTTTTCTAATATCGTCTTAGGCATACGAATTTCTACACGTTCTTTCTCTTCTCTCATGATTATCACCTCATATTGATTGTACGGATTTTTTACGATATAATCAATATATACGAAATTTTTCCGCACAAAGTGAGGTGAATTGATATGGCCAAGCAAAACAAAGCTTTCAAGTTTCGTTTGTTACCAAACAAAGAACAATCCGCATTATTAGCTAAGACATTTGGTTGTGTTCGCTTTGTCTACAATAAGATGTTAGCTGAACGCAAAGAAACGTATGAAAAGTTCAAGGATGATAAAGAATTGCTTAAAAAGCAAAAGTTTCCGACTCCTGCAAAATATAAAAGTGAATTTCCATTCCTAAAAGAAGTGGATTCTTTAGCTTTGGCAAATGCACAAATGAACTTACAGACTGCTTATAAGAATTTCTTTGAAGGAAATGCGGATTTTCCAAAGTTCAAAAATCGTAAAGCAAAACAATCCTATACAACTAATATGGTCAACGGAAATATTAAGCTAGAAAATGGTCATATCAAACTGCCAAAAATCAAAAAGCCAATAAAAATGAAACAGCATAGAGAGATACCTGCTGATTATAAAATCAAATCTTGCACTATTTCTAAAACAAAGACAGGCAAATACTACATTTCAATTTTGACAGAATATGAGAAAGATATTCGTCCAGTTAAAATACAGAAAGTTGTTGGTTTGGATTTTGCTATGGATGGTCTATATGTCGAGAGTGAACAGGGTAAGAAAGCCAATTACCCACGTTACTATCGGCAAGCCTTAGATAAATTAGCAAAAGCACAACGAATTCTTTCTCGAAGAAAGAAAGGTTCTGCACGTTGGAACAAGCAACGACTAGTAGTGGCTAARTTACATGAGAAAGTGGCGAACCAACGCATGAATTTTCTTCATCATAAGTCAAAAGAATTAGCTTCTAACTTTGATGCTGTCGTGATTGAGGACTTGAACATGAAAGGGATGTCTCAAGCCCTTCACTTTGGGAAAAGCGTTCATGATAACGGCTGGGGGATGTTCACTACTTTCTTAGCGTATAAGCTAAAAGAACARGGGAAACAACTTGTGAAAATTGATAAGTGGTTTCCCTCCACTAAGAAGTGTTCATGTTGCGGCAAGGAAAAAGAAATGCCATTATCTGAACGTGTATATAAATGTTCTTGCGGCTTTGTATTAGATCGCGATCACAATTCAGCAATCAATATCAAAAATGAGGGATTACGCTTATTAGCGTTATCATAAGTAACAAAACTCTTGGAACAAGAGGGTTAGCTCGGTCAGTTTTCGTTGGCTAGTAAAAGCAACGATAAGTCGAGAAGCCCCCACTTCAATCAAACCGTAAGGTTGATAAGTGGAGGGTAGTTCACT</t>
  </si>
  <si>
    <t>IDMAKQNKAFKFRLLPNKEQSALLAKTFGCVRFVYNKMLAERKETYEKFKDDKELLKKQKFPTPAKYKSEFPFLKEVDSLALANAQMNLQTAYKNFFEGNADFPKFKNRKAKQSYTTNMVNGNIKLENGHIKLPKIKKPIKMKQHREIPADYKIKSCTISKTKTGKYYISILTEYEKDIRPVKIQKVVGLDFAMDGLYVESEQGKKANYPRYYRQALDKLAKAQRILSRRKKGSARWNKQRLVVAKLHEKVANQRMNFLHHKSKELASNFDAVVIEDLNMKGMSQALHFGKSVHDNGWGMFTTFLAYKLKEQGKQLVKIDKWFPSTKKCSCCGKEKEMPLSERVYKCSCGFVLDRDHNSAINIKNEGLRLLALS*</t>
  </si>
  <si>
    <t>ISMorbo1</t>
  </si>
  <si>
    <t>Moraxella bovoculi</t>
  </si>
  <si>
    <t>TTCAT</t>
  </si>
  <si>
    <t>GCA_000988685</t>
  </si>
  <si>
    <t>CAAATCCTCCTAGCGTGGAAACCATGCACTTTAGGGCATGGAGGAAACGCCGTGTTGTTAAATTGATATTTCACATTTTTAATGATAAAATGTGAGCTATGAAACATCGTGCCTACAAATTTCGCTTTTACCCAACTGATGAACAAGCCAAACTGCTTGCTCAAACCTTTGGCTGTGTGCGGTTTGTCTATAACACGATTTTGCGTTGGCGTACTGATGAATACTACCAAAGCAAAACTAAAATTGGCTATATTCAAGCCAATGCCAGATTGACTTGGCTTAAAAAACAACCTCAATTTGCTTTTTTGAATGATGTTTCGTGTGTTCCCACCCAGCAAGTACTTAGACATCAACAAACCGCCTTTAAAAACTTCTTTGAGGGTCGTGCTAAATACCCAACATTCAAAAAGAAAACTCACAAGCAATCGGCTGAATTTACCAAAAGTGCCTTTAAGTACACAGACGGTCAGCTTTTTATTGCCAAAAGCAAACAGCCGCTTAATGTTCGTTGGTCTAGGCATCTGCCAAGCAAGCCAAGTACCATCACAATCACTAAAGACTGTGCAGGACGATATTTTGTGTCGTGCCTGTGTGAATTTGATAATCAAATTTTGCCAAAATCTGATACCGTCGTTGGTATTGATGTTGGCATTAAACATATGTTTGTTACCGACAGTGGTCTTAAAATTGACAATCCTCGTCTGACAGCCAAATACGCTACCAAACTTGCTAAGGCTCAAAAAGCCTTGAGTCGCAAAAAACTCGGTTCGGCTAATCGCGCCAAAGCAAGAATGAAAGTAGCTCGTATTCATGCCAAAATCTTAGATTGTCGATTAGATAACTTGCACAAGTTATCTCGCAAATTAATCAACGATAACCAAGTGATTTGTGTTGAAACGCTGCGTGTAAAAAACATGATTAAAAATCCCAAGCTTGCCAAGCATATTATGGATGCAAGTTGGGGTAGGCTTATCCAACAATTAGAATACAAAGCTGATTGGGCAGGTAGAAGCTTAGTCAAAATAGACCAGTTTTTCCCAAGCTCTAAACGCTGCTGTAATTGTGGGTACACTTTGCCTTTTTTAAGCCTTGATACTCGCCATTGGGATTGCCCTGAATGCAAGACTACCCATGACCGTGATGTCAATGCCGCCAAAAACATATTAACCGCAGGGCTTGCGGGGCTTGCCTTTGGAGAGAATGTCAGTCTTGTGTAGTTAGTCTGCATAAGCCAATCTCGTTGAATTAGGAAACACCCAGTAGCGATATTGGGAATCCCCTTGCTTTAGCAAGGGGAGGAGGTCAA</t>
  </si>
  <si>
    <t>MKHRAYKFRFYPTDEQAKLLAQTFGCVRFVYNTILRWRTDEYYQSKTKIGYIQANARLTWLKKQPQFAFLNDVSCVPTQQVLRHQQTAFKNFFEGRAKYPTFKKKTHKQSAEFTKSAFKYTDGQLFIAKSKQPLNVRWSRHLPSKPSTITITKDCAGRYFVSCLCEFDNQILPKSDTVVGIDVGIKHMFVTDSGLKIDNPRLTAKYATKLAKAQKALSRKKLGSANRAKARMKVARIHAKILDCRLDNLHKLSRKLINDNQVICVETLRVKNMIKNPKLAKHIMDASWGRLIQQLEYKADWAGRSLVKIDQFFPSSKRCCNCGYTLPFLSLDTRHWDCPECKTTHDRDVNAAKNILTAGLAGLAFGENVSLV</t>
  </si>
  <si>
    <t>ISParli1</t>
  </si>
  <si>
    <t>Parathermosynechococcus lividus PCC 6715</t>
  </si>
  <si>
    <t>GCF_002754935</t>
  </si>
  <si>
    <t>PCC 6715</t>
  </si>
  <si>
    <t>ATCGGGTAGGGCTGGAAGCCCCGTACTTCAGTGCGGGGAGGAAAGCYYCTTTAGCAACTTCAGTTGCCATATTACCATTTAGGCGCATAAAATGAACTCATGCCACAGCAAATACTGACCATTGTCTGTCAACTAAATCCCACTGCAGAGCAAATTGTCAAGCTAGACCAAGTTCTGCAGGGCTTCGCTGAGGCTTGCAGATACATCAACAGTACCATTTGCCCCAGCATTACTAACAAGAACCGTATTCAGAAAGAAGTTTACAGAGCAGTACGACAGCAATTCGGCTTAACCGCTAACTTGGCTGTCAGGGCTTGTGCCAGAGTTGCCGCTAACCGCAAGGTGGGAAAGGTTAAGGGATTCAGGGCTACTTCTGTGGATTATGATGCTCGCCTGTTTGACTACAGAGCGAAAGAACAATGCGTTAGCCTCTCCACCCTAAACGGACGGGAACGCATTCCCTTAGTGGTGGGTAACTACCAGATAGAAAAACTCAAGGGCAAGAAGCCTACTTCTGCCACTCTCTGCAAACGCAAAGATGGTAAGTTTTATATCCACATCCAAGTAAAGGAAGAAGTGCCAGAACCTCAGACTGGACATGGGGTTTTGGGCGTTGACTTCGGTAGGACAGACATTGCACATACATCGGAAGGAGACAACTGGCATGGACAGCAGTTAACTAAGGTACGAGACCACTACTCCAAACTGAGGGCGGTACTCCAGCAGAAAGCCAGTAAAGGCACACGCAGTTCTAGGCGTAGATGTCGGGAACTGGTGAAACGGCTATCTGGCAGGGAGAGACGCTTTCAGGCATGGGTGAACCACTGCATTTCTAAGACCATTGTGGCAAGGGCAAAAGCAACGGGCAGTGTTATTGCTTTGGAAGACCTGACAGGGATACGGGAGCGCACTAATCAAGTACCTCGTTCTAAAACAGAGCGTAGGCGTGCCAACAGTTGGGCGTTTTACCAACTGCGTAGCTTCATTAGCTACAAGGCACTCAAAGCAGGTGTGGGAATAGTGCTAGTTAATCCTCGCTACAGTAGTCAAACTTGCCACAGATGCCTGCATATTTACCCCGACCCAAAGCAGTCCTATCGCACTGGGAAGCAGTTTAAGTGCGGGCATTGTGGCTGGACAGGAGACGCAGATTTCAATGGTGCTAGTGTAATTGCGCTTTTGGGGGCTGTTGTAAACCAGCCTAGAGGTTCGGGCTTGTCTTGTTCTCTTGCAGAACATAACAGGCTCAGGGCTACTGAAAGCCCCTGACTTCAGTCAGGGGAAGTTTAC</t>
  </si>
  <si>
    <t>MPQQILTIVCQLNPTAEQIVKLDQVLQGFAEACRYINSTICPSITNKNRIQKEVYRAVRQQFGLTANLAVRACARVAANRKVGKVKGFRATSVDYDARLFDYRAKEQCVSLSTLNGRERIPLVVGNYQIEKLKGKKPTSATLCKRKDGKFYIHIQVKEEVPEPQTGHGVLGVDFGRTDIAHTSEGDNWHGQQLTKVRDHYSKLRAVLQQKASKGTRSSRRRCRELVKRLSGRERRFQAWVNHCISKTIVARAKATGSVIALEDLTGIRERTNQVPRSKTERRRANSWAFYQLRSFISYKALKAGVGIVLVNPRYSSQTCHRCLHIYPDPKQSYRTGKQFKCGHCGWTGDADFNGASVIALLGAVVNQPRGSGLSCSLAEHNRLRATESP</t>
  </si>
  <si>
    <t>ISParli2</t>
  </si>
  <si>
    <t>TTAT</t>
  </si>
  <si>
    <t>AGGAGTGATGTGGGCGGGCTAAAACCCCTCCGCTTTAGCGAGGGGATACAGCCAACTCAGGGGGCTTTAGCCCCTAGTAAGGTCAATTACTCTTGCCCTGAGCTTCAATGTAGCGCTGAATTGTTTCGCTGCTAACATTGCCAGCCGTTGAGACAAAGTAACTGGATGTCCACATGGACGGCAGTTTCATTAATGGATTAGGGAATTCCTGTCTGAGGAACTGTGCAGTTCGCCCCTTAATTCGATGCACTGCGGCTTTTCTGGTAGTCCATAGTTYACCTGTTTGTCTATCTGTGCTACGCTGTAGACAATTGTTGCATAAACTCACCATGTTTGGATGTCAGCAAGTTTTGCTCAACCCCAATAACGAACTTAAGGGGGTGATGGAATTTGTCTGCTCTGAGGCAAACAAGCTAACCAATCAGGGCATCTACTATGCTCGTCAACTGCACTTTAAGACCGGGCAGTGGATTGGCAAGCATAGCCTGAGTTACGAATACAAGACCAGTAAGCACTTCCAAGCTCTTTACTCCCAGGCTGCACAGCAAACCTTGATTTCGGTCTACGAGTCGTTTAAGTCCTACCGAGCATTGTTGAAACTGTGGCGAGGTGGAGAACTGGCAGAGAAACCCAGGATGCCAAATTACCGCAAGAAGGGAGGGTTGGCAGTAGTCAGCTATCCCAAACAAGCGCTGAAGTTGGTTGATGGGATGATCCGGGTTCCGCTGGGGCAGTTAGTGAAAGTGTGGTTTCAGATTGATTCGTTCACTGTCCCCATGCCCTCCAATCTCAAATTTGAGGACATCAAGGAACTGCGGATTCTGCCGCGCAATGGGTGTTTCTACGCTGAGTTTGTCTATCGTCTGAACCCCGTTCAGATTGATGTAGACCCGATGCGGGTGCTGGGCATCGATTCGGGATTAAACAACTGGCTCACCTGCGTCAGCAATGTGGGAACCAGCTTCATTGTGGATGGACTGCACCTGAAATCGTTGAACCGCTGGTACAACAAGCAAATTGCCAAGCTGAAAGAAGGTAAGCCTCAAGGCTTTTGGTCAAAGCGACTGGCACAACTCACTGAGAAGCGCAATCGGCAGATACGTGATGCAGTGAACAAAGCGGCTAGGATTGTGATTGACCATTGCACCCGTAACCGGATTGGTCGGATTGTATTTGGCTGGAACCAGCRGCAAAAGGACGGTTCCAACCTRGGCAAGAAGACCAATCAGAAGTTTGTGCAGATCCCAACTGCGAGACTGAAAGAGCGGATTGCTCARTTAGCGGAGCAGTACGGGATAGAGTTTGTTGAAACTGAGGAGTCGTATACCTCTCAAGCATCGTTTGTGGATGGTGACTTTTTGCCGACATTCGGTGAAAAACCTGATAGCTGGAAGTCATCGGGGAAGCGGACGAAGCGAGGCTTGTTCAGGACTGCTCAGAATTGGTACATCAACGCGGATTGTAATGGCGCTGCCAACATCCTGCGTAAAGTAGCGACGATGCTTGGATTGAGTCTGAGCGGAGTTGGTAGGGGGTCTTTGACTGCCCCCACCCGYATTAAGTTGTGGGTGACAGCTCAAGGGAAAAGCGAAGCAACGCGGCTTCAGCCCGTTGCGTAGCATCCTTTGGGAATCCCCTCTCTTTCAAGGAGGAGAGAAGTCAA</t>
  </si>
  <si>
    <t>LDVHMDGSFINGLGNSCLRNCAVRPLIRCTAAFLVVHSXPVCLSVLRCRQLLHKLTMFGCQQVLLNPNNELKGVMEFVCSEANKLTNQGIYYARQLHFKTGQWIGKHSLSYEYKTSKHFQALYSQAAQQTLISVYESFKSYRALLKLWRGGELAEKPRMPNYRKKGGLAVVSYPKQALKLVDGMIRVPLGQLVKVWFQIDSFTVPMPSNLKFEDIKELRILPRNGCFYAEFVYRLNPVQIDVDPMRVLGIDSGLNNWLTCVSNVGTSFIVDGLHLKSLNRWYNKQIAKLKEGKPQGFWSKRLAQLTEKRNRQIRDAVNKAARIVIDHCTRNRIGRIVFGWNQXQKDGSNLGKKTNQKFVQIPTARLKERIAQLAEQYGIEFVETEESYTSQASFVDGDFLPTFGEKPDSWKSSGKRTKRGLFRTAQNWYINADCNGAANILRKVATMLGLSLSGVGRGSLTAPTRIKLWVTAQGKSEATRLQPVA</t>
  </si>
  <si>
    <t>ISPaefa1</t>
  </si>
  <si>
    <t>Paenalcaligenes faecalis</t>
  </si>
  <si>
    <t>GCF_027557445</t>
  </si>
  <si>
    <t>YLCF04</t>
  </si>
  <si>
    <t>CAGATTACGTCGAAAACCTCTTCCTTCAGGTGGAGGATGTAAGACGTTGCCGCAAAACGCGGCAAGATATATTCAATCAGCACGTGCGCCACAAGCAGTTTTTCCTGTATAATAAAACAGTATTAGGAGAGGAAAAGTGAAACAAGTGGCGTATAAATACCGATTTTACCCCACCCAAGAGCAAGCTGCATTCTTGGCGCATACCTTTGGTTGTGTTCGTTTCACCTATAACGCCGCGCTTGGTTTCTCTAAAGAACAATACGAGTTAGGCAATAAAACCAATTACCACGATTGGAACAACCACCTCAATCAGCTTAAACGCAGTCCAAAGCACGCTTGGTTGAAAGACGTCTCTAGCGTGCCGTTGCAGCAGTCGCTTCGCCATTTGCAAAAAGCTTTCCGTTCCTTTTTTGCCTCAGGGTTTGGTTACCCGAAATTTAAGCGTAAACAGGCAAAACAATCGGCCAGCTATATGAACAACGCCTTTAAGTGGGACGCTAAGGCGCTATCGCTCACGTTGGCGAAAATGAAACAGCCATTAAAAATCCGCTGGTCGCGTTTGTTCACGGGAACACCTAGCTCATTGACCGTGTCTAAAACAAAAACAGGCAAATATTTTGTGTCTATTTTAGTAAAAGAAGCGGTTCAACTGCTGCCCGAGGTGAGTAAAACGGTGGGCGTGGATGTGGGCATTGCGGAGTTAGCGGTTTGTTCTGATGACCAGCGGTTTACTAACCCGCGTTTAACGAATAAATACGCTAAAAAACTGGCTAAAGCACAGCGAAAACTAGCCAAGAAAGTCAAAGGCTCGGCGAATTTTAGTAAGCAACAACGCGTGGTGGCGAAAATCCACGAAAAGATCGCGAATTGCCGTCATGATGTAACCCATAAAATGACGAGAAAACTTATAAACGAAAATCAAGTGATAAGTATTGAGTCATTAAAGGTCAAAAACATGGTGAAAAACCGTAAATTGGCGAAACAATTGCATGATGTCAACTTCGGTGAAATAGTAAGGCAATTGAGCTACAAGGCAGACTGGTATGGAAGAACGCTTTCTGCCATTAGTCAATGGTTCCCTTCTAGCAAAACCTGTAGTCAATGTGGGGAGCTCTACCAAGGCCAGTGGTCACTCGCCATTCGGCGGTGGACCTGCCCTTGTGGGGCGACGCATGACCGCGATCTGAATGCCGCAATCAACATTCACAAAGAAGGGCTGCGACTCGTGAGGGAACCGGTTTGTGGCGGCAGGGAGTGCCGACACACGAAACGCTTGGAAGAGGTTTTAGAAGACGGGCGTGATTGAATATCACGGCGCCTAAACCGATGACAACAAGAATCACCTTGCTTTAGCTGGGTGAGCTTCAA</t>
  </si>
  <si>
    <t>LAHTFGCVRFTYNAALGFSKEQYELGNKTNYHDWNNHLNQLKRSPKHAWLKDVSSVPLQQSLRHLQKAFRSFFASGFGYPKFKRKQAKQSASYMNNAFKWDAKALSLTLAKMKQPLKIRWSRLFTGTPSSLTVSKTKTGKYFVSILVKEAVQLLPEVSKTVGVDVGIAELAVCSDDQRFTNPRLTNKYAKKLAKAQRKLAKKVKGSANFSKQQRVVAKIHEKIANCRHDVTHKMTRKLINENQVISIESLKVKNMVKNRKLAKQLHDVNFGEIVRQLSYKADWYGRTLSAISQWFPSSKTCSQCGELYQGQWSLAIRRWTCPCGATHDRDLNAAINIHKEGLRLVREPVCGGRECRHTKRLEEVLEDGRD</t>
  </si>
  <si>
    <t>ISSucde1</t>
  </si>
  <si>
    <t>Succinivibrio dextrinosolvens</t>
  </si>
  <si>
    <t>GCA_011065405</t>
  </si>
  <si>
    <t>Z6</t>
  </si>
  <si>
    <t>CTTTGCCGCCGGAAGACCCCTTGTTTTAACAATGGGGATGTAAGGCGGCTAAAAAGTATGCTATAATATATATATTGTTTAATAAAGTTTAAAAATAATAAATATATATATGACAGATACAAATCTAGCAAAACTTGCTTTTAAATTTAAGCTTGAGCCTAATGGAGAACAGCGTCGTTTTTTCAGCAGGACAGCAGGTTGTACCAGATTTGTATATAACCATTTACTCTTCAAATGCAGGGAAGACTTCAGAGAATATCTTGAGGAAATAGATTCCAGACAGAGTAATGGTGAAGCCTTAAACAGGGATGAAGCCAAGAAGCTTAGTTTCAGACCTTTGTGCTATAAATGTATTACAGGATTAAACTATCTGCTTCCTGATTTAAGGAAAGAATATCCTTTTTTACAGGAATGTCCTGCTCAGGCTTTACAGCAGAAAGCTCAGGATTTGATGAGGGCCTACCATAGATTCTTCGATGGAAAAGGTGGTTTACCAAGATTCAAAAAGAAGGCTCTTCATAACAGCTTCAGATTTCCTCAGGGCTTTGAACTTGATGAAGACAGAAAGAAGATATGGCTACCCAAGATTGGCTGGGTTAAGTACCGTAAATCCAGAAACATCTTTGGTAAACCAAAGAATGTAACAGTTTCACTGAACCATGGAGACTGGTATATCTCTGTTCAGACAGAGTTTGAATTAAATCCTCTGATCCAGGAGCTTAATTTTAATACAGCTGTAGGTATTGATATGGGAGTGGTCAGATTTGCCACCTTATCAGATGAAAACTACATACCGTCATTAAAAGACAGGCTGAATCCTGTTTATGAAAAGATAGAAAAACTGCAGAGGAGATTAAGCAGAAAGAAAAAAGATTCAAAAAGATACATTAAACTCAGAATAAAACTCTCTAAGCTTCATAAGAAACTTACTGATATCAGATATGATTATCTTCAGAAAGAATCTACACGTCTAGTCAAAAACCACGACATTATATGTGTAGAAGACCTGAAGGTTAAGAATATGATCAAATCAGCTAAGGGAACTATTGAAGAGCCTGGCAGAAACGTAAAACAGAAGTCAGGCTTAAACAGAGAGATTTTAAAAGAGTCATGGTCTATGTTCTTTAAACAGCTTGAGTACAAACTTAAGCTTAAGGGAGGCATCTTCGTACAGATCCCTGCTAAGAACACCAGCAGAGCCTGTCATGTATGCGGCTATGTTGATAAGGAGAACCGAAAGACTCAGGCTGAGTTTAAATGTATCCACTGCGGTCACACTGAAAACGCAGATGTGAACGCAGCTAAAAATATAAAAAGGGCAGGTCTTGCCCAGATCGCTCGCCAAGTGAACTGTAATAGCAGTCAGCAACGAGAAGCCATAGAGGCCTAGTTAACATTAGCAAAAATAGTTAACGGGCGGTATTGAATCCCCTGGCTTCAGCCATGGGGAGCAGGTCAA</t>
  </si>
  <si>
    <t>MTDTNLAKLAFKFKLEPNGEQRRFFSRTAGCTRFVYNHLLFKCREDFREYLEEIDSRQSNGEALNRDEAKKLSFRPLCYKCITGLNYLLPDLRKEYPFLQECPAQALQQKAQDLMRAYHRFFDGKGGLPRFKKKALHNSFRFPQGFELDEDRKKIWLPKIGWVKYRKSRNIFGKPKNVTVSLNHGDWYISVQTEFELNPLIQELNFNTAVGIDMGVVRFATLSDENYIPSLKDRLNPVYEKIEKLQRRLSRKKKDSKRYIKLRIKLSKLHKKLTDIRYDYLQKESTRLVKNHDIICVEDLKVKNMIKSAKGTIEEPGRNVKQKSGLNREILKESWSMFFKQLEYKLKLKGGIFVQIPAKNTSRACHVCGYVDKENRKTQAEFKCIHCGHTENADVNAAKNIKRAGLAQIARQVNCNSSQQREAIEA</t>
  </si>
  <si>
    <t>ISSpisu1</t>
  </si>
  <si>
    <t>Spirulina subsalsa PCC 9445</t>
  </si>
  <si>
    <t>GCA_000314005</t>
  </si>
  <si>
    <t>PCC 9445</t>
  </si>
  <si>
    <t>AAAGATTGCCGGGAACTCCCCATCCCCTCGTGGGTGGGGATGAAAGGCCAGTCAATCAAGCGGTTCAATGCCGCGCAGATTGACAATAATCTATCGGTCTTGCCATTAATCCTTTTTGTGTTAAACTTGGAGAATGAGAARTGTTGTTAAGGTCAGAATCTATCCAACCACTGAGCAGCAAGTAGCCTTGTCAAAGGCGTTTGGCTGTGCTANNNGGTGGTGGAACTACGCTCTAAACCTGAACAATGAAACCTACAAAGCAACCGGGAAGGGACTGTCAAGACAGGGGTATAACGACCGCTTACCAGCACTCAAAAAGGAGTTTCCTTGGTTGGCCCAATGTTATTCCCAAGTTCTCCAGTCTGTATCCCTGAATCTTTCTCGGGCGTTTATCAGCTTCTTTGAGGGAAGAGCTCAATATCCCAACTTCAAGAGCAAGCATGGTAAGCAATCAATCCAGTATCCGCAGCACGTCAAGTTGTTGGATAAAGCGATTAAATTGCCTAAAATCGGTGATGTCAAAGCAAAATTTCATCGTGTTTTYGATGGTAAGCTGAAGACCGTTACCGTCAGCATGAGTAGGACGGGCAAATACTCCGCCTCTTTGCTTTTTGACGATGGACTACCTAAACCTGAAATAAGCAGCCAAGGTAAAGCGGTTGGGATTGACCTAGGGTTAGCCCATTTTGCCATTACGTCTGATGGTTCTAAATTTGATAATCCCAAACCGCTCAAGAAGAGAGAGAAAAACCTGAAACGCAAGCAGCAAAAGTTATCTCGTAAACAGAAGGGTTCAAAGCGTCGGGCTAAAGCAARACGTATYGTAGCGCGAGTGCATGAGCGGATTGCTAACACTCGCAAAGACTTCCAGCACAAACTCTCCCGCAAATTGGTGAACGAAAATCAAGTCATCGTTGTGGAAGACCTGKCAGTCAAAAACATGGTGAAAAACCACAATCTAGCCAAAGCGATTTCAGATTGTGGATGGTCAGAATTCACCAGACAGTTAAAGTACAAGGCTGAAAAAGACGGGAAAACCTATCTAGAAATTGGTCGGTTTTTCCCGTCCAGTAAGACTTGTCATGTATGCCTCAATCAGATTGATAGTCTGCCTCTTGATGTTCGTAGTTGGGAATGCCCCAATTGCAAAACCCAACATGACAGAGACGTAAATGCAGCTATCAATATTCGAGATGAAGGCTTACGAATATTATCGTTGGGAACCAGCGATACTGCCCAAGGAGGCAATGTAAGACCAAAGCGGGGGCGTAAGTCATCCGTAGAGGCGGTTGCTGTTGAGTTGGGAAGCCCCGTCCCCTTGTGGGCGGGGTAGTTCAC</t>
  </si>
  <si>
    <t>MRXVVKVRIYPTTEQQVALSKAFGCAXXWWNYALNLNNETYKATGKGLSRQGYNDRLPALKKEFPWLAQCYSQVLQSVSLNLSRAFISFFEGRAQYPNFKSKHGKQSIQYPQHVKLLDKAIKLPKIGDVKAKFHRVFDGKLKTVTVSMSRTGKYSASLLFDDGLPKPEISSQGKAVGIDLGLAHFAITSDGSKFDNPKPLKKREKNLKRKQQKLSRKQKGSKRRAKAXRIVARVHERIANTRKDFQHKLSRKLVNENQVIVVEDLXVKNMVKNHNLAKAISDCGWSEFTRQLKYKAEKDGKTYLEIGRFFPSSKTCHVCLNQIDSLPLDVRSWECPNCKTQHDRDVNAAINIRDEGLRILSLGTSDTAQGGNVRPKRGRKSSVEAVAVELGSPVPLW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</si>
</sst>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Fill="1" applyAlignment="1">
      <alignment horizontal="right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1"/>
  <sheetViews>
    <sheetView tabSelected="1" topLeftCell="Q1" workbookViewId="0">
      <selection activeCell="AA17" sqref="AA17"/>
    </sheetView>
  </sheetViews>
  <sheetFormatPr defaultColWidth="9" defaultRowHeight="13.5"/>
  <cols>
    <col min="37" max="37" width="23.5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="1" customFormat="1" spans="1:41">
      <c r="A2" s="1" t="s">
        <v>41</v>
      </c>
      <c r="B2" s="1" t="s">
        <v>42</v>
      </c>
      <c r="C2" s="1" t="s">
        <v>43</v>
      </c>
      <c r="F2" s="1" t="s">
        <v>44</v>
      </c>
      <c r="G2" s="1">
        <f t="shared" ref="G2:G31" si="0">T2</f>
        <v>1464</v>
      </c>
      <c r="H2" s="3" t="s">
        <v>45</v>
      </c>
      <c r="I2" s="1" t="str">
        <f t="shared" ref="I2:I31" si="1">LEFT(S2,5)</f>
        <v>CTAGT</v>
      </c>
      <c r="J2" s="1" t="str">
        <f t="shared" ref="J2:J31" si="2">RIGHT(S2,5)</f>
        <v>GTCAC</v>
      </c>
      <c r="L2" s="1" t="str">
        <f t="shared" ref="L2:L31" si="3">AF2/3&amp;"("&amp;AG2&amp;"-"&amp;AH2&amp;")"</f>
        <v>451(61-1413)</v>
      </c>
      <c r="M2" s="1" t="s">
        <v>46</v>
      </c>
      <c r="N2" s="1" t="s">
        <v>47</v>
      </c>
      <c r="Q2" s="1" t="s">
        <v>48</v>
      </c>
      <c r="S2" s="1" t="s">
        <v>49</v>
      </c>
      <c r="T2" s="4">
        <f t="shared" ref="T2:T31" si="4">LEN(S2)</f>
        <v>1464</v>
      </c>
      <c r="U2" s="1">
        <v>1</v>
      </c>
      <c r="AE2" s="1">
        <v>2</v>
      </c>
      <c r="AF2" s="1">
        <f t="shared" ref="AF2:AF31" si="5">(AH2-AG2+1)</f>
        <v>1353</v>
      </c>
      <c r="AG2" s="1">
        <v>61</v>
      </c>
      <c r="AH2" s="1">
        <v>1413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</row>
    <row r="3" s="1" customFormat="1" spans="1:41">
      <c r="A3" s="1" t="s">
        <v>55</v>
      </c>
      <c r="B3" s="1" t="s">
        <v>42</v>
      </c>
      <c r="C3" s="1" t="s">
        <v>43</v>
      </c>
      <c r="F3" s="1" t="s">
        <v>56</v>
      </c>
      <c r="G3" s="1">
        <f t="shared" si="0"/>
        <v>1303</v>
      </c>
      <c r="H3" s="3" t="s">
        <v>57</v>
      </c>
      <c r="I3" s="1" t="str">
        <f t="shared" si="1"/>
        <v>CATCT</v>
      </c>
      <c r="J3" s="1" t="str">
        <f t="shared" si="2"/>
        <v>GTCAA</v>
      </c>
      <c r="L3" s="1" t="str">
        <f t="shared" si="3"/>
        <v>378(108-1241)</v>
      </c>
      <c r="M3" s="1" t="s">
        <v>58</v>
      </c>
      <c r="N3" s="1" t="s">
        <v>47</v>
      </c>
      <c r="Q3" s="1" t="s">
        <v>59</v>
      </c>
      <c r="S3" s="1" t="s">
        <v>60</v>
      </c>
      <c r="T3" s="4">
        <f t="shared" si="4"/>
        <v>1303</v>
      </c>
      <c r="U3" s="1">
        <v>1</v>
      </c>
      <c r="AE3" s="1">
        <v>2</v>
      </c>
      <c r="AF3" s="1">
        <f t="shared" si="5"/>
        <v>1134</v>
      </c>
      <c r="AG3" s="1">
        <v>108</v>
      </c>
      <c r="AH3" s="1">
        <v>1241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61</v>
      </c>
    </row>
    <row r="4" s="1" customFormat="1" spans="1:41">
      <c r="A4" s="1" t="s">
        <v>62</v>
      </c>
      <c r="B4" s="1" t="s">
        <v>42</v>
      </c>
      <c r="C4" s="1" t="s">
        <v>43</v>
      </c>
      <c r="F4" s="1" t="s">
        <v>63</v>
      </c>
      <c r="G4" s="1">
        <f t="shared" si="0"/>
        <v>1323</v>
      </c>
      <c r="H4" s="3" t="s">
        <v>64</v>
      </c>
      <c r="I4" s="1" t="str">
        <f t="shared" si="1"/>
        <v>CTTTA</v>
      </c>
      <c r="J4" s="1" t="str">
        <f t="shared" si="2"/>
        <v>GTCAA</v>
      </c>
      <c r="L4" s="1" t="str">
        <f t="shared" si="3"/>
        <v>394(102-1283)</v>
      </c>
      <c r="M4" s="1" t="s">
        <v>65</v>
      </c>
      <c r="N4" s="1" t="s">
        <v>47</v>
      </c>
      <c r="Q4" s="1" t="s">
        <v>66</v>
      </c>
      <c r="S4" s="1" t="s">
        <v>67</v>
      </c>
      <c r="T4" s="4">
        <f t="shared" si="4"/>
        <v>1323</v>
      </c>
      <c r="U4" s="1">
        <v>1</v>
      </c>
      <c r="AE4" s="1">
        <v>2</v>
      </c>
      <c r="AF4" s="1">
        <f t="shared" si="5"/>
        <v>1182</v>
      </c>
      <c r="AG4" s="1">
        <v>102</v>
      </c>
      <c r="AH4" s="1">
        <v>1283</v>
      </c>
      <c r="AI4" s="1" t="s">
        <v>50</v>
      </c>
      <c r="AJ4" s="1" t="s">
        <v>51</v>
      </c>
      <c r="AK4" s="1" t="s">
        <v>52</v>
      </c>
      <c r="AL4" s="1" t="s">
        <v>53</v>
      </c>
      <c r="AM4" s="1" t="s">
        <v>68</v>
      </c>
    </row>
    <row r="5" s="1" customFormat="1" spans="1:41">
      <c r="A5" s="1" t="s">
        <v>69</v>
      </c>
      <c r="B5" s="1" t="s">
        <v>42</v>
      </c>
      <c r="C5" s="1" t="s">
        <v>43</v>
      </c>
      <c r="F5" s="1" t="s">
        <v>70</v>
      </c>
      <c r="G5" s="1">
        <f t="shared" si="0"/>
        <v>1539</v>
      </c>
      <c r="H5" s="3" t="s">
        <v>71</v>
      </c>
      <c r="I5" s="1" t="str">
        <f t="shared" si="1"/>
        <v>TAATA</v>
      </c>
      <c r="J5" s="1" t="str">
        <f t="shared" si="2"/>
        <v>TTGAC</v>
      </c>
      <c r="L5" s="1" t="str">
        <f t="shared" si="3"/>
        <v>418(110-1363)</v>
      </c>
      <c r="M5" s="1" t="s">
        <v>72</v>
      </c>
      <c r="N5" s="1" t="s">
        <v>47</v>
      </c>
      <c r="Q5" s="1" t="s">
        <v>73</v>
      </c>
      <c r="S5" s="1" t="s">
        <v>74</v>
      </c>
      <c r="T5" s="4">
        <f t="shared" si="4"/>
        <v>1539</v>
      </c>
      <c r="U5" s="1">
        <v>1</v>
      </c>
      <c r="AE5" s="1">
        <v>2</v>
      </c>
      <c r="AF5" s="1">
        <f t="shared" si="5"/>
        <v>1254</v>
      </c>
      <c r="AG5" s="1">
        <v>110</v>
      </c>
      <c r="AH5" s="1">
        <v>1363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75</v>
      </c>
    </row>
    <row r="6" s="1" customFormat="1" spans="1:41">
      <c r="A6" s="1" t="s">
        <v>76</v>
      </c>
      <c r="B6" s="1" t="s">
        <v>42</v>
      </c>
      <c r="C6" s="1" t="s">
        <v>43</v>
      </c>
      <c r="F6" s="1" t="s">
        <v>77</v>
      </c>
      <c r="G6" s="1">
        <f t="shared" si="0"/>
        <v>1377</v>
      </c>
      <c r="H6" s="3" t="s">
        <v>78</v>
      </c>
      <c r="I6" s="1" t="str">
        <f t="shared" si="1"/>
        <v>CAAAA</v>
      </c>
      <c r="J6" s="1" t="str">
        <f t="shared" si="2"/>
        <v>GTCAA</v>
      </c>
      <c r="L6" s="1" t="str">
        <f t="shared" si="3"/>
        <v>413(93-1331)</v>
      </c>
      <c r="M6" s="1" t="s">
        <v>79</v>
      </c>
      <c r="N6" s="1" t="s">
        <v>47</v>
      </c>
      <c r="Q6" s="1" t="s">
        <v>80</v>
      </c>
      <c r="S6" s="1" t="s">
        <v>81</v>
      </c>
      <c r="T6" s="4">
        <f t="shared" si="4"/>
        <v>1377</v>
      </c>
      <c r="U6" s="1">
        <v>1</v>
      </c>
      <c r="AE6" s="1">
        <v>2</v>
      </c>
      <c r="AF6" s="1">
        <f t="shared" si="5"/>
        <v>1239</v>
      </c>
      <c r="AG6" s="1">
        <v>93</v>
      </c>
      <c r="AH6" s="1">
        <v>1331</v>
      </c>
      <c r="AI6" s="1" t="s">
        <v>50</v>
      </c>
      <c r="AJ6" s="1" t="s">
        <v>51</v>
      </c>
      <c r="AK6" s="1" t="s">
        <v>52</v>
      </c>
      <c r="AL6" s="1" t="s">
        <v>53</v>
      </c>
      <c r="AM6" s="1" t="s">
        <v>82</v>
      </c>
    </row>
    <row r="7" s="1" customFormat="1" spans="1:41">
      <c r="A7" s="1" t="s">
        <v>83</v>
      </c>
      <c r="B7" s="1" t="s">
        <v>42</v>
      </c>
      <c r="C7" s="1" t="s">
        <v>43</v>
      </c>
      <c r="F7" s="1" t="s">
        <v>84</v>
      </c>
      <c r="G7" s="1">
        <f t="shared" si="0"/>
        <v>1386</v>
      </c>
      <c r="H7" s="3" t="s">
        <v>64</v>
      </c>
      <c r="I7" s="1" t="str">
        <f t="shared" si="1"/>
        <v>CAGAT</v>
      </c>
      <c r="J7" s="1" t="str">
        <f t="shared" si="2"/>
        <v>GTCAA</v>
      </c>
      <c r="L7" s="1" t="str">
        <f t="shared" si="3"/>
        <v>366(225-1322)</v>
      </c>
      <c r="M7" s="1" t="s">
        <v>85</v>
      </c>
      <c r="N7" s="1" t="s">
        <v>47</v>
      </c>
      <c r="Q7" s="1" t="s">
        <v>86</v>
      </c>
      <c r="S7" s="1" t="s">
        <v>87</v>
      </c>
      <c r="T7" s="4">
        <f t="shared" si="4"/>
        <v>1386</v>
      </c>
      <c r="U7" s="1">
        <v>1</v>
      </c>
      <c r="AE7" s="1">
        <v>2</v>
      </c>
      <c r="AF7" s="1">
        <f t="shared" si="5"/>
        <v>1098</v>
      </c>
      <c r="AG7" s="1">
        <v>225</v>
      </c>
      <c r="AH7" s="1">
        <v>1322</v>
      </c>
      <c r="AI7" s="1" t="s">
        <v>50</v>
      </c>
      <c r="AJ7" s="1" t="s">
        <v>51</v>
      </c>
      <c r="AK7" s="1" t="s">
        <v>52</v>
      </c>
      <c r="AL7" s="1" t="s">
        <v>53</v>
      </c>
      <c r="AM7" s="1" t="s">
        <v>88</v>
      </c>
    </row>
    <row r="8" s="1" customFormat="1" spans="1:41">
      <c r="A8" s="1" t="s">
        <v>89</v>
      </c>
      <c r="B8" s="1" t="s">
        <v>42</v>
      </c>
      <c r="C8" s="1" t="s">
        <v>43</v>
      </c>
      <c r="F8" s="1" t="s">
        <v>90</v>
      </c>
      <c r="G8" s="1">
        <f t="shared" si="0"/>
        <v>1403</v>
      </c>
      <c r="H8" s="3" t="s">
        <v>91</v>
      </c>
      <c r="I8" s="1" t="str">
        <f t="shared" si="1"/>
        <v>GATAG</v>
      </c>
      <c r="J8" s="1" t="str">
        <f t="shared" si="2"/>
        <v>GTCAA</v>
      </c>
      <c r="L8" s="1" t="str">
        <f t="shared" si="3"/>
        <v>402(159-1364)</v>
      </c>
      <c r="M8" s="1" t="s">
        <v>92</v>
      </c>
      <c r="N8" s="1" t="s">
        <v>47</v>
      </c>
      <c r="Q8" s="1" t="s">
        <v>93</v>
      </c>
      <c r="S8" s="1" t="s">
        <v>94</v>
      </c>
      <c r="T8" s="4">
        <f t="shared" si="4"/>
        <v>1403</v>
      </c>
      <c r="U8" s="1">
        <v>1</v>
      </c>
      <c r="AE8" s="1">
        <v>2</v>
      </c>
      <c r="AF8" s="1">
        <f t="shared" si="5"/>
        <v>1206</v>
      </c>
      <c r="AG8" s="1">
        <v>159</v>
      </c>
      <c r="AH8" s="1">
        <v>1364</v>
      </c>
      <c r="AI8" s="1" t="s">
        <v>50</v>
      </c>
      <c r="AJ8" s="1" t="s">
        <v>51</v>
      </c>
      <c r="AK8" s="1" t="s">
        <v>52</v>
      </c>
      <c r="AL8" s="1" t="s">
        <v>53</v>
      </c>
      <c r="AM8" s="1" t="s">
        <v>95</v>
      </c>
    </row>
    <row r="9" s="1" customFormat="1" spans="1:41">
      <c r="A9" s="1" t="s">
        <v>96</v>
      </c>
      <c r="B9" s="1" t="s">
        <v>97</v>
      </c>
      <c r="F9" s="1" t="s">
        <v>98</v>
      </c>
      <c r="G9" s="1">
        <f t="shared" si="0"/>
        <v>2026</v>
      </c>
      <c r="H9" s="3" t="s">
        <v>99</v>
      </c>
      <c r="I9" s="1" t="str">
        <f t="shared" si="1"/>
        <v>TTACA</v>
      </c>
      <c r="J9" s="1" t="str">
        <f t="shared" si="2"/>
        <v>AACGG</v>
      </c>
      <c r="K9" s="1" t="s">
        <v>100</v>
      </c>
      <c r="L9" s="1" t="str">
        <f t="shared" si="3"/>
        <v>420(715-1974)</v>
      </c>
      <c r="M9" s="1" t="s">
        <v>101</v>
      </c>
      <c r="N9" s="1" t="s">
        <v>47</v>
      </c>
      <c r="Q9" s="1" t="s">
        <v>102</v>
      </c>
      <c r="S9" s="1" t="s">
        <v>103</v>
      </c>
      <c r="T9" s="4">
        <f t="shared" si="4"/>
        <v>2026</v>
      </c>
      <c r="U9" s="1">
        <v>2</v>
      </c>
      <c r="V9" s="1">
        <v>1</v>
      </c>
      <c r="W9" s="1">
        <v>381</v>
      </c>
      <c r="X9" s="1">
        <v>70</v>
      </c>
      <c r="Y9" s="1">
        <v>450</v>
      </c>
      <c r="Z9" s="1" t="s">
        <v>50</v>
      </c>
      <c r="AA9" s="1" t="s">
        <v>104</v>
      </c>
      <c r="AB9" s="1" t="s">
        <v>105</v>
      </c>
      <c r="AC9" s="1" t="s">
        <v>106</v>
      </c>
      <c r="AD9" s="1" t="s">
        <v>107</v>
      </c>
      <c r="AE9" s="1">
        <v>2</v>
      </c>
      <c r="AF9" s="1">
        <f t="shared" si="5"/>
        <v>1260</v>
      </c>
      <c r="AG9" s="1">
        <v>715</v>
      </c>
      <c r="AH9" s="1">
        <v>1974</v>
      </c>
      <c r="AI9" s="1" t="s">
        <v>50</v>
      </c>
      <c r="AJ9" s="1" t="s">
        <v>51</v>
      </c>
      <c r="AK9" s="1" t="s">
        <v>52</v>
      </c>
      <c r="AL9" s="1" t="s">
        <v>53</v>
      </c>
      <c r="AM9" s="1" t="s">
        <v>108</v>
      </c>
    </row>
    <row r="10" s="1" customFormat="1" spans="1:41">
      <c r="A10" s="1" t="s">
        <v>109</v>
      </c>
      <c r="B10" s="1" t="s">
        <v>42</v>
      </c>
      <c r="C10" s="1" t="s">
        <v>43</v>
      </c>
      <c r="F10" s="1" t="s">
        <v>110</v>
      </c>
      <c r="G10" s="1">
        <f t="shared" si="0"/>
        <v>1327</v>
      </c>
      <c r="H10" s="3" t="s">
        <v>45</v>
      </c>
      <c r="I10" s="1" t="str">
        <f t="shared" si="1"/>
        <v>CGAAA</v>
      </c>
      <c r="J10" s="1" t="str">
        <f t="shared" si="2"/>
        <v>GTCAA</v>
      </c>
      <c r="L10" s="1" t="str">
        <f t="shared" si="3"/>
        <v>375(116-1240)</v>
      </c>
      <c r="M10" s="1" t="s">
        <v>111</v>
      </c>
      <c r="N10" s="1" t="s">
        <v>47</v>
      </c>
      <c r="Q10" s="5" t="s">
        <v>112</v>
      </c>
      <c r="S10" s="1" t="s">
        <v>113</v>
      </c>
      <c r="T10" s="4">
        <f t="shared" si="4"/>
        <v>1327</v>
      </c>
      <c r="U10" s="1">
        <v>1</v>
      </c>
      <c r="AE10" s="1">
        <v>2</v>
      </c>
      <c r="AF10" s="1">
        <f t="shared" si="5"/>
        <v>1125</v>
      </c>
      <c r="AG10" s="1">
        <v>116</v>
      </c>
      <c r="AH10" s="1">
        <v>1240</v>
      </c>
      <c r="AI10" s="1" t="s">
        <v>50</v>
      </c>
      <c r="AJ10" s="1" t="s">
        <v>51</v>
      </c>
      <c r="AK10" s="1" t="s">
        <v>52</v>
      </c>
      <c r="AL10" s="1" t="s">
        <v>53</v>
      </c>
      <c r="AM10" s="1" t="s">
        <v>114</v>
      </c>
    </row>
    <row r="11" s="1" customFormat="1" spans="1:41">
      <c r="A11" s="1" t="s">
        <v>115</v>
      </c>
      <c r="B11" s="1" t="s">
        <v>42</v>
      </c>
      <c r="C11" s="1" t="s">
        <v>43</v>
      </c>
      <c r="F11" s="1" t="s">
        <v>116</v>
      </c>
      <c r="G11" s="1">
        <f t="shared" si="0"/>
        <v>1480</v>
      </c>
      <c r="H11" s="3" t="s">
        <v>117</v>
      </c>
      <c r="I11" s="1" t="str">
        <f t="shared" si="1"/>
        <v>CATAA</v>
      </c>
      <c r="J11" s="1" t="str">
        <f t="shared" si="2"/>
        <v>TTCAT</v>
      </c>
      <c r="L11" s="1" t="str">
        <f t="shared" si="3"/>
        <v>400(100-1299)</v>
      </c>
      <c r="M11" s="1" t="s">
        <v>118</v>
      </c>
      <c r="N11" s="1" t="s">
        <v>47</v>
      </c>
      <c r="Q11" s="1" t="s">
        <v>119</v>
      </c>
      <c r="S11" s="1" t="s">
        <v>120</v>
      </c>
      <c r="T11" s="4">
        <f t="shared" si="4"/>
        <v>1480</v>
      </c>
      <c r="U11" s="1">
        <v>1</v>
      </c>
      <c r="AE11" s="1">
        <v>2</v>
      </c>
      <c r="AF11" s="1">
        <f t="shared" si="5"/>
        <v>1200</v>
      </c>
      <c r="AG11" s="1">
        <v>100</v>
      </c>
      <c r="AH11" s="1">
        <v>1299</v>
      </c>
      <c r="AI11" s="1" t="s">
        <v>50</v>
      </c>
      <c r="AJ11" s="1" t="s">
        <v>51</v>
      </c>
      <c r="AK11" s="1" t="s">
        <v>52</v>
      </c>
      <c r="AL11" s="1" t="s">
        <v>53</v>
      </c>
      <c r="AM11" s="1" t="s">
        <v>121</v>
      </c>
    </row>
    <row r="12" s="1" customFormat="1" spans="1:41">
      <c r="A12" s="1" t="s">
        <v>122</v>
      </c>
      <c r="B12" s="1" t="s">
        <v>42</v>
      </c>
      <c r="C12" s="1" t="s">
        <v>43</v>
      </c>
      <c r="F12" s="1" t="s">
        <v>123</v>
      </c>
      <c r="G12" s="1">
        <f t="shared" si="0"/>
        <v>1231</v>
      </c>
      <c r="H12" s="3" t="s">
        <v>124</v>
      </c>
      <c r="I12" s="1" t="str">
        <f t="shared" si="1"/>
        <v>CAACC</v>
      </c>
      <c r="J12" s="1" t="str">
        <f t="shared" si="2"/>
        <v>GTCAA</v>
      </c>
      <c r="L12" s="1" t="str">
        <f t="shared" si="3"/>
        <v>361(92-1174)</v>
      </c>
      <c r="M12" s="1" t="s">
        <v>125</v>
      </c>
      <c r="N12" s="1" t="s">
        <v>47</v>
      </c>
      <c r="Q12" s="1" t="s">
        <v>126</v>
      </c>
      <c r="S12" s="1" t="s">
        <v>127</v>
      </c>
      <c r="T12" s="4">
        <f t="shared" si="4"/>
        <v>1231</v>
      </c>
      <c r="U12" s="1">
        <v>1</v>
      </c>
      <c r="AE12" s="1">
        <v>2</v>
      </c>
      <c r="AF12" s="1">
        <f t="shared" si="5"/>
        <v>1083</v>
      </c>
      <c r="AG12" s="1">
        <v>92</v>
      </c>
      <c r="AH12" s="1">
        <v>1174</v>
      </c>
      <c r="AI12" s="1" t="s">
        <v>50</v>
      </c>
      <c r="AJ12" s="1" t="s">
        <v>51</v>
      </c>
      <c r="AK12" s="1" t="s">
        <v>52</v>
      </c>
      <c r="AL12" s="1" t="s">
        <v>53</v>
      </c>
      <c r="AM12" s="1" t="s">
        <v>128</v>
      </c>
    </row>
    <row r="13" s="1" customFormat="1" spans="1:41">
      <c r="A13" s="1" t="s">
        <v>129</v>
      </c>
      <c r="B13" s="1" t="s">
        <v>42</v>
      </c>
      <c r="C13" s="1" t="s">
        <v>43</v>
      </c>
      <c r="F13" s="1" t="s">
        <v>44</v>
      </c>
      <c r="G13" s="1">
        <f t="shared" si="0"/>
        <v>1336</v>
      </c>
      <c r="H13" s="3" t="s">
        <v>91</v>
      </c>
      <c r="I13" s="1" t="str">
        <f t="shared" si="1"/>
        <v>CGAAA</v>
      </c>
      <c r="J13" s="1" t="str">
        <f t="shared" si="2"/>
        <v>GTCAA</v>
      </c>
      <c r="L13" s="1" t="str">
        <f t="shared" si="3"/>
        <v>387(105-1265)</v>
      </c>
      <c r="M13" s="1" t="s">
        <v>46</v>
      </c>
      <c r="N13" s="1" t="s">
        <v>47</v>
      </c>
      <c r="Q13" s="1" t="s">
        <v>48</v>
      </c>
      <c r="S13" s="1" t="s">
        <v>130</v>
      </c>
      <c r="T13" s="4">
        <f t="shared" si="4"/>
        <v>1336</v>
      </c>
      <c r="U13" s="1">
        <v>1</v>
      </c>
      <c r="AE13" s="1">
        <v>2</v>
      </c>
      <c r="AF13" s="1">
        <f t="shared" si="5"/>
        <v>1161</v>
      </c>
      <c r="AG13" s="1">
        <v>105</v>
      </c>
      <c r="AH13" s="1">
        <v>1265</v>
      </c>
      <c r="AI13" s="1" t="s">
        <v>50</v>
      </c>
      <c r="AJ13" s="1" t="s">
        <v>51</v>
      </c>
      <c r="AK13" s="1" t="s">
        <v>52</v>
      </c>
      <c r="AL13" s="1" t="s">
        <v>53</v>
      </c>
      <c r="AM13" s="1" t="s">
        <v>131</v>
      </c>
    </row>
    <row r="14" s="1" customFormat="1" spans="1:41">
      <c r="A14" s="1" t="s">
        <v>132</v>
      </c>
      <c r="B14" s="1" t="s">
        <v>42</v>
      </c>
      <c r="C14" s="1" t="s">
        <v>43</v>
      </c>
      <c r="F14" s="1" t="s">
        <v>133</v>
      </c>
      <c r="G14" s="1">
        <f t="shared" si="0"/>
        <v>1302</v>
      </c>
      <c r="H14" s="3" t="s">
        <v>134</v>
      </c>
      <c r="I14" s="1" t="str">
        <f t="shared" si="1"/>
        <v>CAGAG</v>
      </c>
      <c r="J14" s="1" t="str">
        <f t="shared" si="2"/>
        <v>TTCAC</v>
      </c>
      <c r="L14" s="1" t="str">
        <f t="shared" si="3"/>
        <v>398(66-1259)</v>
      </c>
      <c r="M14" s="1" t="s">
        <v>135</v>
      </c>
      <c r="N14" s="1" t="s">
        <v>47</v>
      </c>
      <c r="Q14" s="1" t="s">
        <v>136</v>
      </c>
      <c r="S14" s="1" t="s">
        <v>137</v>
      </c>
      <c r="T14" s="4">
        <f t="shared" si="4"/>
        <v>1302</v>
      </c>
      <c r="U14" s="1">
        <v>1</v>
      </c>
      <c r="AE14" s="1">
        <v>2</v>
      </c>
      <c r="AF14" s="1">
        <f t="shared" si="5"/>
        <v>1194</v>
      </c>
      <c r="AG14" s="1">
        <v>66</v>
      </c>
      <c r="AH14" s="1">
        <v>1259</v>
      </c>
      <c r="AI14" s="1" t="s">
        <v>50</v>
      </c>
      <c r="AJ14" s="1" t="s">
        <v>51</v>
      </c>
      <c r="AK14" s="1" t="s">
        <v>52</v>
      </c>
      <c r="AL14" s="1" t="s">
        <v>53</v>
      </c>
      <c r="AM14" s="1" t="s">
        <v>138</v>
      </c>
    </row>
    <row r="15" s="1" customFormat="1" spans="1:41">
      <c r="A15" s="1" t="s">
        <v>139</v>
      </c>
      <c r="B15" s="1" t="s">
        <v>42</v>
      </c>
      <c r="C15" s="1" t="s">
        <v>43</v>
      </c>
      <c r="F15" s="1" t="s">
        <v>140</v>
      </c>
      <c r="G15" s="1">
        <f t="shared" si="0"/>
        <v>1324</v>
      </c>
      <c r="H15" s="3" t="s">
        <v>91</v>
      </c>
      <c r="I15" s="1" t="str">
        <f t="shared" si="1"/>
        <v>CGATT</v>
      </c>
      <c r="J15" s="1" t="str">
        <f t="shared" si="2"/>
        <v>GTCAA</v>
      </c>
      <c r="L15" s="1" t="str">
        <f t="shared" si="3"/>
        <v>392(98-1273)</v>
      </c>
      <c r="M15" s="1" t="s">
        <v>141</v>
      </c>
      <c r="N15" s="1" t="s">
        <v>47</v>
      </c>
      <c r="Q15" s="1" t="s">
        <v>142</v>
      </c>
      <c r="S15" s="1" t="s">
        <v>143</v>
      </c>
      <c r="T15" s="4">
        <f t="shared" si="4"/>
        <v>1324</v>
      </c>
      <c r="U15" s="1">
        <v>1</v>
      </c>
      <c r="AE15" s="1">
        <v>2</v>
      </c>
      <c r="AF15" s="1">
        <f t="shared" si="5"/>
        <v>1176</v>
      </c>
      <c r="AG15" s="1">
        <v>98</v>
      </c>
      <c r="AH15" s="1">
        <v>1273</v>
      </c>
      <c r="AI15" s="1" t="s">
        <v>50</v>
      </c>
      <c r="AJ15" s="1" t="s">
        <v>51</v>
      </c>
      <c r="AK15" s="1" t="s">
        <v>52</v>
      </c>
      <c r="AL15" s="1" t="s">
        <v>53</v>
      </c>
      <c r="AM15" s="1" t="s">
        <v>144</v>
      </c>
    </row>
    <row r="16" s="1" customFormat="1" spans="1:41">
      <c r="A16" s="1" t="s">
        <v>145</v>
      </c>
      <c r="B16" s="1" t="s">
        <v>42</v>
      </c>
      <c r="C16" s="1" t="s">
        <v>43</v>
      </c>
      <c r="F16" s="1" t="s">
        <v>146</v>
      </c>
      <c r="G16" s="1">
        <f t="shared" si="0"/>
        <v>1195</v>
      </c>
      <c r="H16" s="3" t="s">
        <v>147</v>
      </c>
      <c r="I16" s="1" t="str">
        <f t="shared" si="1"/>
        <v>CAAAT</v>
      </c>
      <c r="J16" s="1" t="str">
        <f t="shared" si="2"/>
        <v>GTCAA</v>
      </c>
      <c r="L16" s="1" t="str">
        <f t="shared" si="3"/>
        <v>354(117-1178)</v>
      </c>
      <c r="M16" s="1" t="s">
        <v>148</v>
      </c>
      <c r="N16" s="1" t="s">
        <v>47</v>
      </c>
      <c r="Q16" s="1" t="s">
        <v>149</v>
      </c>
      <c r="S16" s="1" t="s">
        <v>150</v>
      </c>
      <c r="T16" s="4">
        <f t="shared" si="4"/>
        <v>1195</v>
      </c>
      <c r="U16" s="1">
        <v>1</v>
      </c>
      <c r="AE16" s="1">
        <v>2</v>
      </c>
      <c r="AF16" s="1">
        <f t="shared" si="5"/>
        <v>1062</v>
      </c>
      <c r="AG16" s="1">
        <v>117</v>
      </c>
      <c r="AH16" s="1">
        <v>1178</v>
      </c>
      <c r="AI16" s="1" t="s">
        <v>50</v>
      </c>
      <c r="AJ16" s="1" t="s">
        <v>51</v>
      </c>
      <c r="AK16" s="1" t="s">
        <v>52</v>
      </c>
      <c r="AL16" s="1" t="s">
        <v>53</v>
      </c>
      <c r="AM16" s="1" t="s">
        <v>151</v>
      </c>
    </row>
    <row r="17" s="1" customFormat="1" spans="1:39">
      <c r="A17" s="1" t="s">
        <v>152</v>
      </c>
      <c r="B17" s="1" t="s">
        <v>42</v>
      </c>
      <c r="C17" s="1" t="s">
        <v>43</v>
      </c>
      <c r="F17" s="1" t="s">
        <v>153</v>
      </c>
      <c r="G17" s="1">
        <f t="shared" si="0"/>
        <v>1249</v>
      </c>
      <c r="H17" s="3" t="s">
        <v>154</v>
      </c>
      <c r="I17" s="1" t="str">
        <f t="shared" si="1"/>
        <v>GAGAA</v>
      </c>
      <c r="J17" s="1" t="str">
        <f t="shared" si="2"/>
        <v>TTGAC</v>
      </c>
      <c r="L17" s="1" t="str">
        <f t="shared" si="3"/>
        <v>385(54-1208)</v>
      </c>
      <c r="M17" s="1" t="s">
        <v>155</v>
      </c>
      <c r="N17" s="1" t="s">
        <v>47</v>
      </c>
      <c r="Q17" s="1" t="s">
        <v>156</v>
      </c>
      <c r="S17" s="1" t="s">
        <v>157</v>
      </c>
      <c r="T17" s="4">
        <f t="shared" si="4"/>
        <v>1249</v>
      </c>
      <c r="U17" s="1">
        <v>1</v>
      </c>
      <c r="AE17" s="1">
        <v>2</v>
      </c>
      <c r="AF17" s="1">
        <f t="shared" si="5"/>
        <v>1155</v>
      </c>
      <c r="AG17" s="1">
        <v>54</v>
      </c>
      <c r="AH17" s="1">
        <v>1208</v>
      </c>
      <c r="AI17" s="1" t="s">
        <v>50</v>
      </c>
      <c r="AJ17" s="1" t="s">
        <v>51</v>
      </c>
      <c r="AK17" s="1" t="s">
        <v>52</v>
      </c>
      <c r="AL17" s="1" t="s">
        <v>53</v>
      </c>
      <c r="AM17" s="1" t="s">
        <v>158</v>
      </c>
    </row>
    <row r="18" s="1" customFormat="1" spans="1:39">
      <c r="A18" s="1" t="s">
        <v>159</v>
      </c>
      <c r="B18" s="1" t="s">
        <v>42</v>
      </c>
      <c r="C18" s="1" t="s">
        <v>43</v>
      </c>
      <c r="F18" s="1" t="s">
        <v>77</v>
      </c>
      <c r="G18" s="1">
        <f t="shared" si="0"/>
        <v>1310</v>
      </c>
      <c r="H18" s="3" t="s">
        <v>160</v>
      </c>
      <c r="I18" s="1" t="str">
        <f t="shared" si="1"/>
        <v>CAAGA</v>
      </c>
      <c r="J18" s="1" t="str">
        <f t="shared" si="2"/>
        <v>GTCAA</v>
      </c>
      <c r="L18" s="1" t="str">
        <f t="shared" si="3"/>
        <v>417(45-1295)</v>
      </c>
      <c r="M18" s="1" t="s">
        <v>79</v>
      </c>
      <c r="N18" s="1" t="s">
        <v>47</v>
      </c>
      <c r="Q18" s="1" t="s">
        <v>80</v>
      </c>
      <c r="S18" s="1" t="s">
        <v>161</v>
      </c>
      <c r="T18" s="4">
        <f t="shared" si="4"/>
        <v>1310</v>
      </c>
      <c r="U18" s="1">
        <v>1</v>
      </c>
      <c r="AE18" s="1">
        <v>2</v>
      </c>
      <c r="AF18" s="1">
        <f t="shared" si="5"/>
        <v>1251</v>
      </c>
      <c r="AG18" s="1">
        <v>45</v>
      </c>
      <c r="AH18" s="1">
        <v>1295</v>
      </c>
      <c r="AI18" s="1" t="s">
        <v>50</v>
      </c>
      <c r="AJ18" s="1" t="s">
        <v>51</v>
      </c>
      <c r="AK18" s="1" t="s">
        <v>52</v>
      </c>
      <c r="AL18" s="1" t="s">
        <v>53</v>
      </c>
      <c r="AM18" s="1" t="s">
        <v>162</v>
      </c>
    </row>
    <row r="19" s="1" customFormat="1" spans="1:39">
      <c r="A19" s="1" t="s">
        <v>163</v>
      </c>
      <c r="B19" s="1" t="s">
        <v>42</v>
      </c>
      <c r="C19" s="1" t="s">
        <v>43</v>
      </c>
      <c r="F19" s="1" t="s">
        <v>164</v>
      </c>
      <c r="G19" s="1">
        <f t="shared" si="0"/>
        <v>1376</v>
      </c>
      <c r="H19" s="3" t="s">
        <v>165</v>
      </c>
      <c r="I19" s="1" t="str">
        <f t="shared" si="1"/>
        <v>CGAAA</v>
      </c>
      <c r="J19" s="1" t="str">
        <f t="shared" si="2"/>
        <v>GTCAA</v>
      </c>
      <c r="L19" s="1" t="str">
        <f t="shared" si="3"/>
        <v>380(114-1253)</v>
      </c>
      <c r="M19" s="1" t="s">
        <v>166</v>
      </c>
      <c r="N19" s="1" t="s">
        <v>47</v>
      </c>
      <c r="Q19" s="1" t="s">
        <v>167</v>
      </c>
      <c r="S19" s="1" t="s">
        <v>168</v>
      </c>
      <c r="T19" s="4">
        <f t="shared" si="4"/>
        <v>1376</v>
      </c>
      <c r="U19" s="1">
        <v>1</v>
      </c>
      <c r="AE19" s="1">
        <v>2</v>
      </c>
      <c r="AF19" s="1">
        <f t="shared" si="5"/>
        <v>1140</v>
      </c>
      <c r="AG19" s="1">
        <v>114</v>
      </c>
      <c r="AH19" s="1">
        <v>1253</v>
      </c>
      <c r="AI19" s="1" t="s">
        <v>50</v>
      </c>
      <c r="AJ19" s="1" t="s">
        <v>51</v>
      </c>
      <c r="AK19" s="1" t="s">
        <v>52</v>
      </c>
      <c r="AL19" s="1" t="s">
        <v>53</v>
      </c>
      <c r="AM19" s="1" t="s">
        <v>169</v>
      </c>
    </row>
    <row r="20" s="1" customFormat="1" spans="1:39">
      <c r="A20" s="1" t="s">
        <v>170</v>
      </c>
      <c r="B20" s="1" t="s">
        <v>42</v>
      </c>
      <c r="C20" s="1" t="s">
        <v>43</v>
      </c>
      <c r="F20" s="1" t="s">
        <v>171</v>
      </c>
      <c r="G20" s="1">
        <f t="shared" si="0"/>
        <v>1496</v>
      </c>
      <c r="H20" s="3" t="s">
        <v>165</v>
      </c>
      <c r="I20" s="1" t="str">
        <f t="shared" si="1"/>
        <v>CAAAA</v>
      </c>
      <c r="J20" s="1" t="str">
        <f t="shared" si="2"/>
        <v>TTGAC</v>
      </c>
      <c r="L20" s="1" t="str">
        <f t="shared" si="3"/>
        <v>396(117-1304)</v>
      </c>
      <c r="M20" s="1" t="s">
        <v>172</v>
      </c>
      <c r="N20" s="1" t="s">
        <v>47</v>
      </c>
      <c r="Q20" s="1" t="s">
        <v>173</v>
      </c>
      <c r="S20" s="1" t="s">
        <v>174</v>
      </c>
      <c r="T20" s="4">
        <f t="shared" si="4"/>
        <v>1496</v>
      </c>
      <c r="U20" s="1">
        <v>1</v>
      </c>
      <c r="AE20" s="1">
        <v>2</v>
      </c>
      <c r="AF20" s="1">
        <f t="shared" si="5"/>
        <v>1188</v>
      </c>
      <c r="AG20" s="1">
        <v>117</v>
      </c>
      <c r="AH20" s="1">
        <v>1304</v>
      </c>
      <c r="AI20" s="1" t="s">
        <v>50</v>
      </c>
      <c r="AJ20" s="1" t="s">
        <v>51</v>
      </c>
      <c r="AK20" s="1" t="s">
        <v>52</v>
      </c>
      <c r="AL20" s="1" t="s">
        <v>53</v>
      </c>
      <c r="AM20" s="1" t="s">
        <v>175</v>
      </c>
    </row>
    <row r="21" s="1" customFormat="1" spans="1:39">
      <c r="A21" s="1" t="s">
        <v>176</v>
      </c>
      <c r="B21" s="1" t="s">
        <v>42</v>
      </c>
      <c r="C21" s="1" t="s">
        <v>43</v>
      </c>
      <c r="F21" s="1" t="s">
        <v>177</v>
      </c>
      <c r="G21" s="1">
        <f t="shared" si="0"/>
        <v>1301</v>
      </c>
      <c r="H21" s="3" t="s">
        <v>178</v>
      </c>
      <c r="I21" s="1" t="str">
        <f t="shared" si="1"/>
        <v>CTAAT</v>
      </c>
      <c r="J21" s="1" t="str">
        <f t="shared" si="2"/>
        <v>GTCAG</v>
      </c>
      <c r="L21" s="1" t="str">
        <f t="shared" si="3"/>
        <v>372(69-1184)</v>
      </c>
      <c r="M21" s="1" t="s">
        <v>179</v>
      </c>
      <c r="N21" s="1" t="s">
        <v>47</v>
      </c>
      <c r="Q21" s="1" t="s">
        <v>180</v>
      </c>
      <c r="S21" s="1" t="s">
        <v>181</v>
      </c>
      <c r="T21" s="4">
        <f t="shared" si="4"/>
        <v>1301</v>
      </c>
      <c r="U21" s="1">
        <v>1</v>
      </c>
      <c r="AE21" s="1">
        <v>2</v>
      </c>
      <c r="AF21" s="1">
        <f t="shared" si="5"/>
        <v>1116</v>
      </c>
      <c r="AG21" s="1">
        <v>69</v>
      </c>
      <c r="AH21" s="1">
        <v>1184</v>
      </c>
      <c r="AI21" s="1" t="s">
        <v>50</v>
      </c>
      <c r="AJ21" s="1" t="s">
        <v>51</v>
      </c>
      <c r="AK21" s="1" t="s">
        <v>52</v>
      </c>
      <c r="AL21" s="1" t="s">
        <v>53</v>
      </c>
      <c r="AM21" s="1" t="s">
        <v>182</v>
      </c>
    </row>
    <row r="22" s="1" customFormat="1" spans="1:39">
      <c r="A22" s="1" t="s">
        <v>183</v>
      </c>
      <c r="B22" s="1" t="s">
        <v>42</v>
      </c>
      <c r="C22" s="1" t="s">
        <v>43</v>
      </c>
      <c r="F22" s="1" t="s">
        <v>184</v>
      </c>
      <c r="G22" s="1">
        <f t="shared" si="0"/>
        <v>1467</v>
      </c>
      <c r="H22" s="3" t="s">
        <v>57</v>
      </c>
      <c r="I22" s="1" t="str">
        <f t="shared" si="1"/>
        <v>CTAAA</v>
      </c>
      <c r="J22" s="1" t="str">
        <f t="shared" si="2"/>
        <v>TTCAA</v>
      </c>
      <c r="L22" s="1" t="str">
        <f t="shared" si="3"/>
        <v>387(149-1309)</v>
      </c>
      <c r="M22" s="1" t="s">
        <v>185</v>
      </c>
      <c r="N22" s="1" t="s">
        <v>47</v>
      </c>
      <c r="Q22" s="1" t="s">
        <v>186</v>
      </c>
      <c r="S22" s="1" t="s">
        <v>187</v>
      </c>
      <c r="T22" s="4">
        <f t="shared" si="4"/>
        <v>1467</v>
      </c>
      <c r="U22" s="1">
        <v>1</v>
      </c>
      <c r="AE22" s="1">
        <v>2</v>
      </c>
      <c r="AF22" s="1">
        <f t="shared" si="5"/>
        <v>1161</v>
      </c>
      <c r="AG22" s="1">
        <v>149</v>
      </c>
      <c r="AH22" s="1">
        <v>1309</v>
      </c>
      <c r="AI22" s="1" t="s">
        <v>50</v>
      </c>
      <c r="AJ22" s="1" t="s">
        <v>51</v>
      </c>
      <c r="AK22" s="1" t="s">
        <v>52</v>
      </c>
      <c r="AL22" s="1" t="s">
        <v>53</v>
      </c>
      <c r="AM22" s="1" t="s">
        <v>188</v>
      </c>
    </row>
    <row r="23" s="1" customFormat="1" spans="1:39">
      <c r="A23" s="1" t="s">
        <v>189</v>
      </c>
      <c r="B23" s="1" t="s">
        <v>42</v>
      </c>
      <c r="C23" s="1" t="s">
        <v>43</v>
      </c>
      <c r="F23" s="1" t="s">
        <v>190</v>
      </c>
      <c r="G23" s="1">
        <f t="shared" si="0"/>
        <v>1396</v>
      </c>
      <c r="H23" s="3" t="s">
        <v>191</v>
      </c>
      <c r="I23" s="1" t="str">
        <f t="shared" si="1"/>
        <v>CTAAA</v>
      </c>
      <c r="J23" s="1" t="str">
        <f t="shared" si="2"/>
        <v>TTCAA</v>
      </c>
      <c r="L23" s="1" t="str">
        <f t="shared" si="3"/>
        <v>377(110-1240)</v>
      </c>
      <c r="M23" s="1" t="s">
        <v>192</v>
      </c>
      <c r="N23" s="1" t="s">
        <v>47</v>
      </c>
      <c r="Q23" s="1" t="s">
        <v>193</v>
      </c>
      <c r="S23" s="1" t="s">
        <v>194</v>
      </c>
      <c r="T23" s="4">
        <f t="shared" si="4"/>
        <v>1396</v>
      </c>
      <c r="U23" s="1">
        <v>1</v>
      </c>
      <c r="AE23" s="1">
        <v>2</v>
      </c>
      <c r="AF23" s="1">
        <f t="shared" si="5"/>
        <v>1131</v>
      </c>
      <c r="AG23" s="1">
        <v>110</v>
      </c>
      <c r="AH23" s="1">
        <v>1240</v>
      </c>
      <c r="AI23" s="1" t="s">
        <v>50</v>
      </c>
      <c r="AJ23" s="1" t="s">
        <v>51</v>
      </c>
      <c r="AK23" s="1" t="s">
        <v>52</v>
      </c>
      <c r="AL23" s="1" t="s">
        <v>53</v>
      </c>
      <c r="AM23" s="1" t="s">
        <v>195</v>
      </c>
    </row>
    <row r="24" s="1" customFormat="1" spans="1:39">
      <c r="A24" s="1" t="s">
        <v>196</v>
      </c>
      <c r="B24" s="1" t="s">
        <v>42</v>
      </c>
      <c r="C24" s="1" t="s">
        <v>43</v>
      </c>
      <c r="F24" s="1" t="s">
        <v>197</v>
      </c>
      <c r="G24" s="1">
        <f t="shared" si="0"/>
        <v>1359</v>
      </c>
      <c r="H24" s="3" t="s">
        <v>198</v>
      </c>
      <c r="I24" s="1" t="str">
        <f t="shared" si="1"/>
        <v>CAAAA</v>
      </c>
      <c r="J24" s="1" t="str">
        <f t="shared" si="2"/>
        <v>GTCAC</v>
      </c>
      <c r="L24" s="1" t="str">
        <f t="shared" si="3"/>
        <v>433(6-1304)</v>
      </c>
      <c r="M24" s="1" t="s">
        <v>199</v>
      </c>
      <c r="N24" s="1" t="s">
        <v>47</v>
      </c>
      <c r="Q24" s="1" t="s">
        <v>197</v>
      </c>
      <c r="S24" s="1" t="s">
        <v>200</v>
      </c>
      <c r="T24" s="4">
        <f t="shared" si="4"/>
        <v>1359</v>
      </c>
      <c r="U24" s="1">
        <v>1</v>
      </c>
      <c r="AE24" s="1">
        <v>2</v>
      </c>
      <c r="AF24" s="1">
        <f t="shared" si="5"/>
        <v>1299</v>
      </c>
      <c r="AG24" s="1">
        <v>6</v>
      </c>
      <c r="AH24" s="1">
        <v>1304</v>
      </c>
      <c r="AI24" s="1" t="s">
        <v>50</v>
      </c>
      <c r="AJ24" s="1" t="s">
        <v>51</v>
      </c>
      <c r="AK24" s="1" t="s">
        <v>52</v>
      </c>
      <c r="AL24" s="1" t="s">
        <v>53</v>
      </c>
      <c r="AM24" s="1" t="s">
        <v>201</v>
      </c>
    </row>
    <row r="25" s="1" customFormat="1" spans="1:39">
      <c r="A25" s="1" t="s">
        <v>202</v>
      </c>
      <c r="B25" s="1" t="s">
        <v>42</v>
      </c>
      <c r="C25" s="1" t="s">
        <v>43</v>
      </c>
      <c r="F25" s="1" t="s">
        <v>203</v>
      </c>
      <c r="G25" s="1">
        <f t="shared" si="0"/>
        <v>1572</v>
      </c>
      <c r="H25" s="3" t="s">
        <v>71</v>
      </c>
      <c r="I25" s="1" t="str">
        <f t="shared" si="1"/>
        <v>CGGCT</v>
      </c>
      <c r="J25" s="1" t="str">
        <f t="shared" si="2"/>
        <v>TCACT</v>
      </c>
      <c r="L25" s="1" t="str">
        <f t="shared" si="3"/>
        <v>375(322-1446)</v>
      </c>
      <c r="M25" s="1" t="s">
        <v>204</v>
      </c>
      <c r="N25" s="1" t="s">
        <v>47</v>
      </c>
      <c r="Q25" s="1" t="s">
        <v>205</v>
      </c>
      <c r="S25" s="1" t="s">
        <v>206</v>
      </c>
      <c r="T25" s="4">
        <f t="shared" si="4"/>
        <v>1572</v>
      </c>
      <c r="U25" s="1">
        <v>1</v>
      </c>
      <c r="AE25" s="1">
        <v>2</v>
      </c>
      <c r="AF25" s="1">
        <f t="shared" si="5"/>
        <v>1125</v>
      </c>
      <c r="AG25" s="1">
        <v>322</v>
      </c>
      <c r="AH25" s="1">
        <v>1446</v>
      </c>
      <c r="AI25" s="1" t="s">
        <v>50</v>
      </c>
      <c r="AJ25" s="1" t="s">
        <v>51</v>
      </c>
      <c r="AK25" s="1" t="s">
        <v>52</v>
      </c>
      <c r="AL25" s="1" t="s">
        <v>53</v>
      </c>
      <c r="AM25" s="1" t="s">
        <v>207</v>
      </c>
    </row>
    <row r="26" s="1" customFormat="1" spans="1:39">
      <c r="A26" s="1" t="s">
        <v>208</v>
      </c>
      <c r="B26" s="1" t="s">
        <v>42</v>
      </c>
      <c r="C26" s="1" t="s">
        <v>43</v>
      </c>
      <c r="F26" s="1" t="s">
        <v>209</v>
      </c>
      <c r="G26" s="1">
        <f t="shared" si="0"/>
        <v>1306</v>
      </c>
      <c r="H26" s="3" t="s">
        <v>210</v>
      </c>
      <c r="I26" s="1" t="str">
        <f t="shared" si="1"/>
        <v>CAAAT</v>
      </c>
      <c r="J26" s="1" t="str">
        <f t="shared" si="2"/>
        <v>GTCAA</v>
      </c>
      <c r="L26" s="1" t="str">
        <f t="shared" si="3"/>
        <v>370(99-1208)</v>
      </c>
      <c r="M26" s="1" t="s">
        <v>211</v>
      </c>
      <c r="N26" s="1" t="s">
        <v>47</v>
      </c>
      <c r="Q26" s="1">
        <v>28389</v>
      </c>
      <c r="S26" s="1" t="s">
        <v>212</v>
      </c>
      <c r="T26" s="4">
        <f t="shared" si="4"/>
        <v>1306</v>
      </c>
      <c r="U26" s="1">
        <v>1</v>
      </c>
      <c r="AE26" s="1">
        <v>2</v>
      </c>
      <c r="AF26" s="1">
        <f t="shared" si="5"/>
        <v>1110</v>
      </c>
      <c r="AG26" s="1">
        <v>99</v>
      </c>
      <c r="AH26" s="1">
        <v>1208</v>
      </c>
      <c r="AI26" s="1" t="s">
        <v>50</v>
      </c>
      <c r="AJ26" s="1" t="s">
        <v>51</v>
      </c>
      <c r="AK26" s="1" t="s">
        <v>52</v>
      </c>
      <c r="AL26" s="1" t="s">
        <v>53</v>
      </c>
      <c r="AM26" s="1" t="s">
        <v>213</v>
      </c>
    </row>
    <row r="27" s="1" customFormat="1" spans="1:39">
      <c r="A27" s="1" t="s">
        <v>214</v>
      </c>
      <c r="B27" s="1" t="s">
        <v>42</v>
      </c>
      <c r="C27" s="1" t="s">
        <v>43</v>
      </c>
      <c r="F27" s="1" t="s">
        <v>215</v>
      </c>
      <c r="G27" s="1">
        <f t="shared" si="0"/>
        <v>1290</v>
      </c>
      <c r="H27" s="3" t="s">
        <v>154</v>
      </c>
      <c r="I27" s="1" t="str">
        <f t="shared" si="1"/>
        <v>ATCGG</v>
      </c>
      <c r="J27" s="1" t="str">
        <f t="shared" si="2"/>
        <v>TTTAC</v>
      </c>
      <c r="L27" s="1" t="str">
        <f t="shared" si="3"/>
        <v>390(100-1269)</v>
      </c>
      <c r="M27" s="1" t="s">
        <v>216</v>
      </c>
      <c r="N27" s="1" t="s">
        <v>47</v>
      </c>
      <c r="Q27" s="1" t="s">
        <v>217</v>
      </c>
      <c r="S27" s="1" t="s">
        <v>218</v>
      </c>
      <c r="T27" s="4">
        <f t="shared" si="4"/>
        <v>1290</v>
      </c>
      <c r="U27" s="1">
        <v>1</v>
      </c>
      <c r="AE27" s="1">
        <v>2</v>
      </c>
      <c r="AF27" s="1">
        <f t="shared" si="5"/>
        <v>1170</v>
      </c>
      <c r="AG27" s="1">
        <v>100</v>
      </c>
      <c r="AH27" s="1">
        <v>1269</v>
      </c>
      <c r="AI27" s="1" t="s">
        <v>50</v>
      </c>
      <c r="AJ27" s="1" t="s">
        <v>51</v>
      </c>
      <c r="AK27" s="1" t="s">
        <v>52</v>
      </c>
      <c r="AL27" s="1" t="s">
        <v>53</v>
      </c>
      <c r="AM27" s="1" t="s">
        <v>219</v>
      </c>
    </row>
    <row r="28" s="1" customFormat="1" spans="1:39">
      <c r="A28" s="1" t="s">
        <v>220</v>
      </c>
      <c r="B28" s="1" t="s">
        <v>42</v>
      </c>
      <c r="C28" s="1" t="s">
        <v>43</v>
      </c>
      <c r="F28" s="1" t="s">
        <v>215</v>
      </c>
      <c r="G28" s="1">
        <f t="shared" si="0"/>
        <v>1663</v>
      </c>
      <c r="H28" s="3" t="s">
        <v>221</v>
      </c>
      <c r="I28" s="1" t="str">
        <f t="shared" si="1"/>
        <v>AGGAG</v>
      </c>
      <c r="J28" s="1" t="str">
        <f t="shared" si="2"/>
        <v>GTCAA</v>
      </c>
      <c r="L28" s="1" t="str">
        <f t="shared" si="3"/>
        <v>486(162-1619)</v>
      </c>
      <c r="M28" s="1" t="s">
        <v>216</v>
      </c>
      <c r="N28" s="1" t="s">
        <v>47</v>
      </c>
      <c r="Q28" s="1" t="s">
        <v>217</v>
      </c>
      <c r="S28" s="1" t="s">
        <v>222</v>
      </c>
      <c r="T28" s="4">
        <f t="shared" si="4"/>
        <v>1663</v>
      </c>
      <c r="U28" s="1">
        <v>1</v>
      </c>
      <c r="AE28" s="1">
        <v>2</v>
      </c>
      <c r="AF28" s="1">
        <f t="shared" si="5"/>
        <v>1458</v>
      </c>
      <c r="AG28" s="1">
        <v>162</v>
      </c>
      <c r="AH28" s="1">
        <v>1619</v>
      </c>
      <c r="AI28" s="1" t="s">
        <v>50</v>
      </c>
      <c r="AJ28" s="1" t="s">
        <v>51</v>
      </c>
      <c r="AK28" s="1" t="s">
        <v>52</v>
      </c>
      <c r="AL28" s="1" t="s">
        <v>53</v>
      </c>
      <c r="AM28" s="1" t="s">
        <v>223</v>
      </c>
    </row>
    <row r="29" s="1" customFormat="1" spans="1:39">
      <c r="A29" s="1" t="s">
        <v>224</v>
      </c>
      <c r="B29" s="1" t="s">
        <v>42</v>
      </c>
      <c r="C29" s="1" t="s">
        <v>43</v>
      </c>
      <c r="F29" s="1" t="s">
        <v>225</v>
      </c>
      <c r="G29" s="1">
        <f t="shared" si="0"/>
        <v>1368</v>
      </c>
      <c r="H29" s="3" t="s">
        <v>57</v>
      </c>
      <c r="I29" s="1" t="str">
        <f t="shared" si="1"/>
        <v>CAGAT</v>
      </c>
      <c r="J29" s="1" t="str">
        <f t="shared" si="2"/>
        <v>TTCAA</v>
      </c>
      <c r="L29" s="1" t="str">
        <f t="shared" si="3"/>
        <v>395(122-1306)</v>
      </c>
      <c r="M29" s="1" t="s">
        <v>226</v>
      </c>
      <c r="N29" s="1" t="s">
        <v>47</v>
      </c>
      <c r="Q29" s="1" t="s">
        <v>227</v>
      </c>
      <c r="S29" s="1" t="s">
        <v>228</v>
      </c>
      <c r="T29" s="4">
        <f t="shared" si="4"/>
        <v>1368</v>
      </c>
      <c r="U29" s="1">
        <v>1</v>
      </c>
      <c r="AE29" s="1">
        <v>2</v>
      </c>
      <c r="AF29" s="1">
        <f t="shared" si="5"/>
        <v>1185</v>
      </c>
      <c r="AG29" s="1">
        <v>122</v>
      </c>
      <c r="AH29" s="1">
        <v>1306</v>
      </c>
      <c r="AI29" s="1" t="s">
        <v>50</v>
      </c>
      <c r="AJ29" s="1" t="s">
        <v>51</v>
      </c>
      <c r="AK29" s="1" t="s">
        <v>52</v>
      </c>
      <c r="AL29" s="1" t="s">
        <v>53</v>
      </c>
      <c r="AM29" s="1" t="s">
        <v>229</v>
      </c>
    </row>
    <row r="30" s="1" customFormat="1" spans="1:39">
      <c r="A30" s="1" t="s">
        <v>230</v>
      </c>
      <c r="B30" s="1" t="s">
        <v>42</v>
      </c>
      <c r="C30" s="1" t="s">
        <v>43</v>
      </c>
      <c r="F30" s="1" t="s">
        <v>231</v>
      </c>
      <c r="G30" s="1">
        <f t="shared" si="0"/>
        <v>1459</v>
      </c>
      <c r="H30" s="3" t="s">
        <v>221</v>
      </c>
      <c r="I30" s="1" t="str">
        <f t="shared" si="1"/>
        <v>CTTTG</v>
      </c>
      <c r="J30" s="1" t="str">
        <f t="shared" si="2"/>
        <v>GTCAA</v>
      </c>
      <c r="L30" s="1" t="str">
        <f t="shared" si="3"/>
        <v>432(95-1390)</v>
      </c>
      <c r="M30" s="1" t="s">
        <v>232</v>
      </c>
      <c r="N30" s="1" t="s">
        <v>47</v>
      </c>
      <c r="Q30" s="1" t="s">
        <v>233</v>
      </c>
      <c r="S30" s="1" t="s">
        <v>234</v>
      </c>
      <c r="T30" s="4">
        <f t="shared" si="4"/>
        <v>1459</v>
      </c>
      <c r="U30" s="1">
        <v>1</v>
      </c>
      <c r="AE30" s="1">
        <v>2</v>
      </c>
      <c r="AF30" s="1">
        <f t="shared" si="5"/>
        <v>1296</v>
      </c>
      <c r="AG30" s="1">
        <v>95</v>
      </c>
      <c r="AH30" s="1">
        <v>1390</v>
      </c>
      <c r="AI30" s="1" t="s">
        <v>50</v>
      </c>
      <c r="AJ30" s="1" t="s">
        <v>51</v>
      </c>
      <c r="AK30" s="1" t="s">
        <v>52</v>
      </c>
      <c r="AL30" s="1" t="s">
        <v>53</v>
      </c>
      <c r="AM30" s="1" t="s">
        <v>235</v>
      </c>
    </row>
    <row r="31" s="1" customFormat="1" spans="1:39">
      <c r="A31" s="1" t="s">
        <v>236</v>
      </c>
      <c r="B31" s="1" t="s">
        <v>42</v>
      </c>
      <c r="C31" s="1" t="s">
        <v>43</v>
      </c>
      <c r="F31" s="1" t="s">
        <v>237</v>
      </c>
      <c r="G31" s="1">
        <f t="shared" si="0"/>
        <v>1338</v>
      </c>
      <c r="H31" s="3" t="s">
        <v>71</v>
      </c>
      <c r="I31" s="1" t="str">
        <f t="shared" si="1"/>
        <v>AAAGA</v>
      </c>
      <c r="J31" s="1" t="str">
        <f t="shared" si="2"/>
        <v>TTCAC</v>
      </c>
      <c r="L31" s="1" t="str">
        <f t="shared" si="3"/>
        <v>400(134-1333)</v>
      </c>
      <c r="M31" s="1" t="s">
        <v>238</v>
      </c>
      <c r="N31" s="1" t="s">
        <v>47</v>
      </c>
      <c r="Q31" s="1" t="s">
        <v>239</v>
      </c>
      <c r="S31" s="1" t="s">
        <v>240</v>
      </c>
      <c r="T31" s="4">
        <f t="shared" si="4"/>
        <v>1338</v>
      </c>
      <c r="U31" s="1">
        <v>1</v>
      </c>
      <c r="AE31" s="1">
        <v>2</v>
      </c>
      <c r="AF31" s="1">
        <f t="shared" si="5"/>
        <v>1200</v>
      </c>
      <c r="AG31" s="1">
        <v>134</v>
      </c>
      <c r="AH31" s="1">
        <v>1333</v>
      </c>
      <c r="AI31" s="1" t="s">
        <v>50</v>
      </c>
      <c r="AJ31" s="1" t="s">
        <v>51</v>
      </c>
      <c r="AK31" s="1" t="s">
        <v>52</v>
      </c>
      <c r="AL31" s="1" t="s">
        <v>53</v>
      </c>
      <c r="AM31" s="1" t="s">
        <v>241</v>
      </c>
    </row>
  </sheetData>
  <conditionalFormatting sqref="A2:A3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王赛威</cp:lastModifiedBy>
  <dcterms:created xsi:type="dcterms:W3CDTF">2026-01-18T19:48:00Z</dcterms:created>
  <dcterms:modified xsi:type="dcterms:W3CDTF">2026-01-18T19:55:14Z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7DA461FACE6F244721CA6C69CD531772_42</vt:lpwstr>
  </property>
  <property fmtid="{D5CDD505-2E9C-101B-9397-08002B2CF9AE}" pid="3" name="KSOProductBuildVer">
    <vt:lpwstr>2052-12.1.2.23578</vt:lpwstr>
  </property>
</Properties>
</file>